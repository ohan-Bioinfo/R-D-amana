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amples" sheetId="1" r:id="rId5"/>
    <sheet state="visible" name="Municipalities" sheetId="2" r:id="rId6"/>
    <sheet state="visible" name="Compliance rate" sheetId="3" r:id="rId7"/>
    <sheet state="visible" name="Test" sheetId="4" r:id="rId8"/>
    <sheet state="visible" name="Pesticide " sheetId="5" r:id="rId9"/>
  </sheets>
  <definedNames/>
  <calcPr/>
</workbook>
</file>

<file path=xl/sharedStrings.xml><?xml version="1.0" encoding="utf-8"?>
<sst xmlns="http://schemas.openxmlformats.org/spreadsheetml/2006/main" count="360" uniqueCount="153">
  <si>
    <t>Number of samples (Total) 2025</t>
  </si>
  <si>
    <t>No. of tests</t>
  </si>
  <si>
    <t>Micro</t>
  </si>
  <si>
    <t>Chem</t>
  </si>
  <si>
    <t>Total</t>
  </si>
  <si>
    <t>Number of samples 2025</t>
  </si>
  <si>
    <t>Month</t>
  </si>
  <si>
    <t>Number of samples (MICRO)</t>
  </si>
  <si>
    <t>Number of non-compliant samples (MICRO)</t>
  </si>
  <si>
    <t>Number of compliant  samples (MICRO)</t>
  </si>
  <si>
    <t>Number of samples (CHEM)</t>
  </si>
  <si>
    <t>Number of non compliant 
samples (CHEM)</t>
  </si>
  <si>
    <t>Number of compliant
samples (CHEM)</t>
  </si>
  <si>
    <t>Jan</t>
  </si>
  <si>
    <t>Feb</t>
  </si>
  <si>
    <t>Mar</t>
  </si>
  <si>
    <t>Apr</t>
  </si>
  <si>
    <t>May</t>
  </si>
  <si>
    <t>June</t>
  </si>
  <si>
    <t>July</t>
  </si>
  <si>
    <t>Aug</t>
  </si>
  <si>
    <t>Sep</t>
  </si>
  <si>
    <t>Oct</t>
  </si>
  <si>
    <t>Nov</t>
  </si>
  <si>
    <t>Dec</t>
  </si>
  <si>
    <t>Total samples</t>
  </si>
  <si>
    <t>Types of Samples 2025</t>
  </si>
  <si>
    <t>Sample</t>
  </si>
  <si>
    <t>non compliant samples (MICRO)</t>
  </si>
  <si>
    <t>compliant samples (MICRO)</t>
  </si>
  <si>
    <t>Valid samples (CHEM)</t>
  </si>
  <si>
    <t>Invalid samples (CHEM)</t>
  </si>
  <si>
    <t>Food Samples</t>
  </si>
  <si>
    <t>Beverage</t>
  </si>
  <si>
    <t>Cereal and Legume products</t>
  </si>
  <si>
    <t>Types of samples</t>
  </si>
  <si>
    <t>Situation</t>
  </si>
  <si>
    <t>Total of each Categories</t>
  </si>
  <si>
    <t>Fats and Oils</t>
  </si>
  <si>
    <t>Fish and Seafood products</t>
  </si>
  <si>
    <t>Valid</t>
  </si>
  <si>
    <t>Fruit and Vegetables</t>
  </si>
  <si>
    <t>Invalid</t>
  </si>
  <si>
    <t>Meat and Poultry products</t>
  </si>
  <si>
    <t>Egg and egg products</t>
  </si>
  <si>
    <t>Milk and Dairy products</t>
  </si>
  <si>
    <t>Jelly, Jam and Marmalade</t>
  </si>
  <si>
    <t>Ready to Eat Foods</t>
  </si>
  <si>
    <t>Spices and Sauces products</t>
  </si>
  <si>
    <t>Sweets and Chocolate products</t>
  </si>
  <si>
    <t>Miscellaneous Food</t>
  </si>
  <si>
    <t>Infants, Children and Certain Categories of Dieteic food</t>
  </si>
  <si>
    <t>Water Samples</t>
  </si>
  <si>
    <t>Drinking water</t>
  </si>
  <si>
    <t xml:space="preserve">
Fruit and Vegetables</t>
  </si>
  <si>
    <t>Tap water</t>
  </si>
  <si>
    <t>Swabes</t>
  </si>
  <si>
    <t>Hand</t>
  </si>
  <si>
    <t>NA</t>
  </si>
  <si>
    <t>Surfaces</t>
  </si>
  <si>
    <t>Tools</t>
  </si>
  <si>
    <t xml:space="preserve">
Canned foods</t>
  </si>
  <si>
    <t>Hand swap</t>
  </si>
  <si>
    <t>Surfaces swap</t>
  </si>
  <si>
    <t>Tools swap</t>
  </si>
  <si>
    <t>Miscellaneous Foods</t>
  </si>
  <si>
    <t>Samples collection (Municipalities)</t>
  </si>
  <si>
    <t>Municipality</t>
  </si>
  <si>
    <t>Samples no.</t>
  </si>
  <si>
    <t>Samples no. %</t>
  </si>
  <si>
    <t>القطاع الأوسط</t>
  </si>
  <si>
    <t>قطاع الشمال</t>
  </si>
  <si>
    <t xml:space="preserve">قطاع الغرب </t>
  </si>
  <si>
    <t xml:space="preserve">قطاع الشرق </t>
  </si>
  <si>
    <t xml:space="preserve">قطاع الجنوب </t>
  </si>
  <si>
    <t>العينات الخاصة</t>
  </si>
  <si>
    <t>Compliance rate 2025</t>
  </si>
  <si>
    <t>Number of valid samples (MICRO)</t>
  </si>
  <si>
    <t>Compliance rate (MICRO)</t>
  </si>
  <si>
    <t>Number of valid samples (CHEM)</t>
  </si>
  <si>
    <t>Compliance rate (CHEM)</t>
  </si>
  <si>
    <t>Total compliance</t>
  </si>
  <si>
    <t>Number of Tests (Total)</t>
  </si>
  <si>
    <t>Types of Tests</t>
  </si>
  <si>
    <t>Type of test</t>
  </si>
  <si>
    <t xml:space="preserve">compliance </t>
  </si>
  <si>
    <t>Total of each test</t>
  </si>
  <si>
    <t>كولي فورم</t>
  </si>
  <si>
    <t>Test</t>
  </si>
  <si>
    <t>Compliant</t>
  </si>
  <si>
    <t xml:space="preserve">Non compliant </t>
  </si>
  <si>
    <t>Non compliant</t>
  </si>
  <si>
    <t>Aerobic plate count</t>
  </si>
  <si>
    <t>Pesticides</t>
  </si>
  <si>
    <t>استافيلوكوكس اورياس</t>
  </si>
  <si>
    <t>Bacillus cereus</t>
  </si>
  <si>
    <t>Aflatoxins</t>
  </si>
  <si>
    <t>Campylobacter jejuni</t>
  </si>
  <si>
    <t xml:space="preserve">Water Analysis </t>
  </si>
  <si>
    <t>Clostridium perfringens</t>
  </si>
  <si>
    <t>Moisture</t>
  </si>
  <si>
    <t>العدد الكلي للبكتيريا</t>
  </si>
  <si>
    <t>Clostridium botulinum</t>
  </si>
  <si>
    <t>Ash</t>
  </si>
  <si>
    <t>Coliforms</t>
  </si>
  <si>
    <t>pH test</t>
  </si>
  <si>
    <t>E. coli</t>
  </si>
  <si>
    <t>Sensory test</t>
  </si>
  <si>
    <t>انتيروباكتريسي</t>
  </si>
  <si>
    <t>E. coli O157</t>
  </si>
  <si>
    <t>Total fat</t>
  </si>
  <si>
    <t>Enterobacteriaceae</t>
  </si>
  <si>
    <t xml:space="preserve">Concentration </t>
  </si>
  <si>
    <t>Listeria monocytogenes</t>
  </si>
  <si>
    <t xml:space="preserve">Acidity </t>
  </si>
  <si>
    <t>ايشيريشيا كولاي</t>
  </si>
  <si>
    <t>Pseudomonas aeruginosa</t>
  </si>
  <si>
    <t>Hydroxymethylfurfral (HMF)</t>
  </si>
  <si>
    <t>Salmonella</t>
  </si>
  <si>
    <t xml:space="preserve">Sugars profile
</t>
  </si>
  <si>
    <t>Staphylococcus aureas</t>
  </si>
  <si>
    <t>Heavy metals</t>
  </si>
  <si>
    <t>باصلص سيرز</t>
  </si>
  <si>
    <t>Vibrio parahaemolyticus</t>
  </si>
  <si>
    <t>Hormones</t>
  </si>
  <si>
    <t>Yeasts &amp; Molds</t>
  </si>
  <si>
    <t>Antibiotics</t>
  </si>
  <si>
    <t>السالمونيلا</t>
  </si>
  <si>
    <t>خمائر والاعفان</t>
  </si>
  <si>
    <t>سيدومومناس</t>
  </si>
  <si>
    <t>لستيريا</t>
  </si>
  <si>
    <t>كامبيلوبكتر</t>
  </si>
  <si>
    <t>C.botilinum</t>
  </si>
  <si>
    <t>C.perifrengens</t>
  </si>
  <si>
    <t>Vibrio</t>
  </si>
  <si>
    <t>V.paraharmolytics</t>
  </si>
  <si>
    <t>E.coli O157</t>
  </si>
  <si>
    <t>Aeromonas</t>
  </si>
  <si>
    <t>SRA (Sulfate redusing anarobic bacteria)</t>
  </si>
  <si>
    <t>Samples (banned pest)</t>
  </si>
  <si>
    <t>Samples (restricted pest)</t>
  </si>
  <si>
    <t>Samples (Above MRL)</t>
  </si>
  <si>
    <t>Type of most contaminated crops</t>
  </si>
  <si>
    <t>Oranges (23)
Lemons (21)
Mandarins (9)
Chili peppers (8)
Bell peppers (6)
Carrots (5)
Parsley (4)
Grape (4)
Apple (3)
Kiwi (3)
Banana (3)
Coriander (3)
Tomatoe (2)
Ginger (2)
Strawberries (1)
Pineapple (1)
Green onions (1)
Blackberries (1)
Grapefruit (1)
Purslane (1)
Pomegranate (1)</t>
  </si>
  <si>
    <t xml:space="preserve">Bananas (18)
Mint (18)
Chili peppers (18)
Lemons (15)
Bell peppers (13)
Tomatoes (12)
Parsley (9)
Eggplant (9)
Oranges (9)
Basil (9)
Okra (6)
Cucumbers (6)
Lettuce (6)
Kiwi (5)
Pumpkin (5)
Rocket (4)
Flat Peach (4)
Mandarin (4)
Apples (3)
Guava (3)
Zucchini (3)
Plum (2)
Onions (2)
Figs (2)
Pomegranates (2)
Spinach (2)
Grapes (2)
Peaches (2)
Nectarines (2)
Broccoli (1)
Coriander (1)
Leeks (1)
Purslane (1)
Strawberries (1)
Honey (1) </t>
  </si>
  <si>
    <t>Lemon (20)
Parsley (12)
Basil (10)
Onion (10)
Strawberries (10)
Bell Peppers (9)
Chili Peppers (8)
Kiwi (8)
Mint (8)
Eggplants (6)
Cucumber (6)
Oranges (5)
Pomegranates (4)
Bananas (4)
Lettuce (4)
Grapes (4)
Rocket (3)
Carrots (3)
Coriander (3)
Dill (3)
Guava (3)
Milk (3)
Ginger (2)
Mandarin (2)
Apples (2)
Radishes (1)
Honey (1)
Spinach (1)
Purslane (1)
Zucchini (1)
Figs (1)
Tomatoes (1)
Flat Peach (1)
Plum (1)
Mango (1)</t>
  </si>
  <si>
    <t xml:space="preserve">Type of most frequented pesticide </t>
  </si>
  <si>
    <t>Imazalil (32)
Chlorfenapyr (13)
Malathion (12)
Profenofos (12)
oxadiazon (9)
procymidone (5)
propargite (4)
Azinphos-ethyl (4)
ethion (4)
Azinphos-methyl (3)
diazinon (3)
Iprodione (2)
Dimethoate (2)
Fenarimol (1)
hexazinone (1)
Oxyfluorfen (1)
Methomyl (1)
Omethoate (1)
Tau-Fluvalinate (1)
Thiacloprid (1)</t>
  </si>
  <si>
    <t>Cypermethrin (121)
Bifenthrin (36)
Chlorpyrifos (24)
Fipronil (14)
Imidacloprid (10)
Piperonyl Butoxide (3)
Cyfluthrin (3)
Permethrin (3) 
Oxamyl (1) 
Bupirimate(1)
tetramethrin (1)</t>
  </si>
  <si>
    <t>Cypermethrin (28)
THPI(Tetrahydrophthalimide) (14)
Quinalphos (13)
Fipronil (13)
Profenofos (9)
Pyrimethanil (9)
Paclobutrazol (9)
Penconazole (7)
2-phenylphenol (7)
bifenthrin (7)
chlorpyrifos (6)
Chlorfenapyr (6)
Tebuconazole (6)
Metalaxyl (5)
procymidone (5)
Acetamiprid (3)
Dimethoate (2)
Myclobutanil (2)
Chlorbenside (2)
Imidacloprid (2)
Deltamethrin (2)
Etofenprox (2)
Ethion (2)
Azinphos-ethyl (2)
Etoxazole (1)
Flutriafol (1)
Diazinon (1)
Cyfluthrin (1)
Tau-fluvalinate (1)
Chlorpropham (1)
Fenitrothion (1)
hexazinone (1)
Omethoate (1)
Oxamyl (1)
Cyprodinil (1)
Imazalil (1)
Nitenpyram (1)
Trifloxystrobin (1)
Tebufenpyrad (1)
Pyridaben (1)</t>
  </si>
  <si>
    <t xml:space="preserve">Number of samples </t>
  </si>
  <si>
    <t>Number of non compliant samples</t>
  </si>
  <si>
    <t>Number of samples below MRLs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</si>
</sst>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29">
    <font>
      <sz val="10.0"/>
      <color rgb="FF000000"/>
      <name val="Arial"/>
      <scheme val="minor"/>
    </font>
    <font>
      <b/>
      <sz val="13.0"/>
      <color theme="1"/>
      <name val="Arial"/>
    </font>
    <font/>
    <font>
      <b/>
      <sz val="11.0"/>
      <color theme="1"/>
      <name val="Arial"/>
    </font>
    <font>
      <sz val="11.0"/>
      <color theme="1"/>
      <name val="Arial"/>
    </font>
    <font>
      <b/>
      <sz val="12.0"/>
      <color theme="1"/>
      <name val="Arial"/>
      <scheme val="minor"/>
    </font>
    <font>
      <color theme="1"/>
      <name val="Arial"/>
      <scheme val="minor"/>
    </font>
    <font>
      <b/>
      <sz val="11.0"/>
      <color theme="1"/>
      <name val="Arial"/>
      <scheme val="minor"/>
    </font>
    <font>
      <b/>
      <sz val="11.0"/>
      <color rgb="FFFF0000"/>
      <name val="Arial"/>
      <scheme val="minor"/>
    </font>
    <font>
      <b/>
      <sz val="11.0"/>
      <color rgb="FF0000FF"/>
      <name val="Arial"/>
      <scheme val="minor"/>
    </font>
    <font>
      <sz val="11.0"/>
      <color theme="1"/>
      <name val="Arial"/>
      <scheme val="minor"/>
    </font>
    <font>
      <sz val="11.0"/>
      <color rgb="FFFF0000"/>
      <name val="Arial"/>
      <scheme val="minor"/>
    </font>
    <font>
      <sz val="11.0"/>
      <color rgb="FF0000FF"/>
      <name val="Arial"/>
      <scheme val="minor"/>
    </font>
    <font>
      <sz val="12.0"/>
      <color rgb="FF000000"/>
      <name val="&quot;Times New Roman&quot;"/>
    </font>
    <font>
      <b/>
      <sz val="13.0"/>
      <color rgb="FF000000"/>
      <name val="Calibri"/>
    </font>
    <font>
      <sz val="13.0"/>
      <color rgb="FF000000"/>
      <name val="Calibri"/>
    </font>
    <font>
      <sz val="11.0"/>
      <color rgb="FF000000"/>
      <name val="Calibri"/>
    </font>
    <font>
      <b/>
      <sz val="11.0"/>
      <color rgb="FF38761D"/>
      <name val="Arial"/>
      <scheme val="minor"/>
    </font>
    <font>
      <b/>
      <sz val="11.0"/>
      <color rgb="FF4A86E8"/>
      <name val="Arial"/>
      <scheme val="minor"/>
    </font>
    <font>
      <sz val="11.0"/>
      <color rgb="FF4A86E8"/>
      <name val="Arial"/>
      <scheme val="minor"/>
    </font>
    <font>
      <b/>
      <sz val="11.0"/>
      <color rgb="FF0000FF"/>
      <name val="Arial"/>
    </font>
    <font>
      <sz val="11.0"/>
      <color rgb="FF38761D"/>
      <name val="Arial"/>
      <scheme val="minor"/>
    </font>
    <font>
      <b/>
      <sz val="14.0"/>
      <color theme="1"/>
      <name val="Arial"/>
      <scheme val="minor"/>
    </font>
    <font>
      <b/>
      <sz val="11.0"/>
      <color rgb="FFCC4125"/>
      <name val="Arial"/>
      <scheme val="minor"/>
    </font>
    <font>
      <sz val="11.0"/>
      <color rgb="FF000000"/>
      <name val="Arial"/>
      <scheme val="minor"/>
    </font>
    <font>
      <sz val="11.0"/>
      <color rgb="FF38761D"/>
      <name val="Arial"/>
    </font>
    <font>
      <sz val="11.0"/>
      <color rgb="FFFF0000"/>
      <name val="Arial"/>
    </font>
    <font>
      <b/>
      <sz val="11.0"/>
      <color rgb="FF000000"/>
      <name val="Arial"/>
      <scheme val="minor"/>
    </font>
    <font>
      <sz val="12.0"/>
      <color rgb="FF000000"/>
      <name val="&quot;\0022Times New Roman\0022&quot;"/>
    </font>
  </fonts>
  <fills count="16">
    <fill>
      <patternFill patternType="none"/>
    </fill>
    <fill>
      <patternFill patternType="lightGray"/>
    </fill>
    <fill>
      <patternFill patternType="solid">
        <fgColor rgb="FFEFEFEF"/>
        <bgColor rgb="FFEFEFEF"/>
      </patternFill>
    </fill>
    <fill>
      <patternFill patternType="solid">
        <fgColor rgb="FFFFF8F0"/>
        <bgColor rgb="FFFFF8F0"/>
      </patternFill>
    </fill>
    <fill>
      <patternFill patternType="solid">
        <fgColor rgb="FFE7EEE5"/>
        <bgColor rgb="FFE7EEE5"/>
      </patternFill>
    </fill>
    <fill>
      <patternFill patternType="solid">
        <fgColor rgb="FFD6E0E2"/>
        <bgColor rgb="FFD6E0E2"/>
      </patternFill>
    </fill>
    <fill>
      <patternFill patternType="solid">
        <fgColor rgb="FFFCE5CD"/>
        <bgColor rgb="FFFCE5CD"/>
      </patternFill>
    </fill>
    <fill>
      <patternFill patternType="solid">
        <fgColor rgb="FFD9EAD3"/>
        <bgColor rgb="FFD9EAD3"/>
      </patternFill>
    </fill>
    <fill>
      <patternFill patternType="solid">
        <fgColor rgb="FFD0E0E3"/>
        <bgColor rgb="FFD0E0E3"/>
      </patternFill>
    </fill>
    <fill>
      <patternFill patternType="solid">
        <fgColor rgb="FFFFFF00"/>
        <bgColor rgb="FFFFFF00"/>
      </patternFill>
    </fill>
    <fill>
      <patternFill patternType="solid">
        <fgColor rgb="FFC6E0B4"/>
        <bgColor rgb="FFC6E0B4"/>
      </patternFill>
    </fill>
    <fill>
      <patternFill patternType="solid">
        <fgColor rgb="FF5B9BD5"/>
        <bgColor rgb="FF5B9BD5"/>
      </patternFill>
    </fill>
    <fill>
      <patternFill patternType="solid">
        <fgColor rgb="FFDDEBF7"/>
        <bgColor rgb="FFDDEBF7"/>
      </patternFill>
    </fill>
    <fill>
      <patternFill patternType="solid">
        <fgColor rgb="FFFFFFFF"/>
        <bgColor rgb="FFFFFFFF"/>
      </patternFill>
    </fill>
    <fill>
      <patternFill patternType="solid">
        <fgColor rgb="FFFFF2CC"/>
        <bgColor rgb="FFFFF2CC"/>
      </patternFill>
    </fill>
    <fill>
      <patternFill patternType="solid">
        <fgColor rgb="FFF3F3F3"/>
        <bgColor rgb="FFF3F3F3"/>
      </patternFill>
    </fill>
  </fills>
  <borders count="43">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left style="medium">
        <color rgb="FF000000"/>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medium">
        <color rgb="FF000000"/>
      </right>
      <top style="medium">
        <color rgb="FF000000"/>
      </top>
      <bottom style="medium">
        <color rgb="FF000000"/>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right style="thin">
        <color rgb="FF000000"/>
      </right>
      <top style="medium">
        <color rgb="FF000000"/>
      </top>
    </border>
    <border>
      <left style="thin">
        <color rgb="FF000000"/>
      </left>
      <right style="medium">
        <color rgb="FF000000"/>
      </right>
      <top style="medium">
        <color rgb="FF000000"/>
      </top>
      <bottom style="medium">
        <color rgb="FF000000"/>
      </bottom>
    </border>
    <border>
      <left style="medium">
        <color rgb="FF000000"/>
      </left>
      <right style="thin">
        <color rgb="FF000000"/>
      </right>
      <top style="medium">
        <color rgb="FF000000"/>
      </top>
    </border>
    <border>
      <left style="medium">
        <color rgb="FF000000"/>
      </left>
      <right style="thin">
        <color rgb="FF000000"/>
      </right>
    </border>
    <border>
      <left style="thin">
        <color rgb="FF000000"/>
      </left>
      <right style="thin">
        <color rgb="FF000000"/>
      </right>
    </border>
    <border>
      <left style="medium">
        <color rgb="FF000000"/>
      </left>
      <right style="thin">
        <color rgb="FF000000"/>
      </right>
      <bottom style="medium">
        <color rgb="FF000000"/>
      </bottom>
    </border>
    <border>
      <left style="thin">
        <color rgb="FF000000"/>
      </left>
      <right style="medium">
        <color rgb="FF000000"/>
      </right>
      <bottom style="thin">
        <color rgb="FF000000"/>
      </bottom>
    </border>
    <border>
      <left style="thin">
        <color rgb="FF000000"/>
      </left>
      <right style="thin">
        <color rgb="FF000000"/>
      </right>
      <top style="thin">
        <color rgb="FF000000"/>
      </top>
      <bottom style="medium">
        <color rgb="FF000000"/>
      </bottom>
    </border>
    <border>
      <left style="medium">
        <color rgb="FF000000"/>
      </left>
      <right style="thin">
        <color rgb="FF000000"/>
      </right>
      <bottom style="thin">
        <color rgb="FF000000"/>
      </bottom>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right style="medium">
        <color rgb="FF000000"/>
      </right>
      <top style="medium">
        <color rgb="FF000000"/>
      </top>
    </border>
    <border>
      <left style="medium">
        <color rgb="FF000000"/>
      </left>
      <top style="medium">
        <color rgb="FF000000"/>
      </top>
      <bottom style="thin">
        <color rgb="FF000000"/>
      </bottom>
    </border>
    <border>
      <top style="medium">
        <color rgb="FF000000"/>
      </top>
      <bottom style="thin">
        <color rgb="FF000000"/>
      </bottom>
    </border>
    <border>
      <right style="thin">
        <color rgb="FF000000"/>
      </right>
      <top style="medium">
        <color rgb="FF000000"/>
      </top>
      <bottom style="thin">
        <color rgb="FF000000"/>
      </bottom>
    </border>
    <border>
      <left style="medium">
        <color rgb="FF000000"/>
      </left>
      <top style="thin">
        <color rgb="FF000000"/>
      </top>
      <bottom style="thin">
        <color rgb="FF000000"/>
      </bottom>
    </border>
    <border>
      <left style="medium">
        <color rgb="FF000000"/>
      </left>
      <top style="thin">
        <color rgb="FF000000"/>
      </top>
    </border>
    <border>
      <top style="thin">
        <color rgb="FF000000"/>
      </top>
    </border>
    <border>
      <right style="thin">
        <color rgb="FF000000"/>
      </right>
      <top style="thin">
        <color rgb="FF000000"/>
      </top>
    </border>
    <border>
      <left style="medium">
        <color rgb="FF000000"/>
      </left>
      <right style="thin">
        <color rgb="FF000000"/>
      </right>
      <top style="thin">
        <color rgb="FF000000"/>
      </top>
      <bottom style="medium">
        <color rgb="FF000000"/>
      </bottom>
    </border>
    <border>
      <left style="medium">
        <color rgb="FF000000"/>
      </left>
      <top style="thin">
        <color rgb="FF000000"/>
      </top>
      <bottom style="medium">
        <color rgb="FF000000"/>
      </bottom>
    </border>
    <border>
      <top style="thin">
        <color rgb="FF000000"/>
      </top>
      <bottom style="medium">
        <color rgb="FF000000"/>
      </bottom>
    </border>
    <border>
      <right style="thin">
        <color rgb="FF000000"/>
      </right>
      <top style="thin">
        <color rgb="FF000000"/>
      </top>
      <bottom style="medium">
        <color rgb="FF000000"/>
      </bottom>
    </border>
    <border>
      <left style="thin">
        <color rgb="FF000000"/>
      </left>
      <top style="thin">
        <color rgb="FF000000"/>
      </top>
    </border>
  </borders>
  <cellStyleXfs count="1">
    <xf borderId="0" fillId="0" fontId="0" numFmtId="0" applyAlignment="1" applyFont="1"/>
  </cellStyleXfs>
  <cellXfs count="214">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2" fillId="0" fontId="2" numFmtId="0" xfId="0" applyBorder="1" applyFont="1"/>
    <xf borderId="3" fillId="0" fontId="2" numFmtId="0" xfId="0" applyBorder="1" applyFont="1"/>
    <xf borderId="4" fillId="3" fontId="3" numFmtId="0" xfId="0" applyAlignment="1" applyBorder="1" applyFill="1" applyFont="1">
      <alignment horizontal="center" shrinkToFit="0" vertical="center" wrapText="1"/>
    </xf>
    <xf borderId="5" fillId="4" fontId="3" numFmtId="0" xfId="0" applyAlignment="1" applyBorder="1" applyFill="1" applyFont="1">
      <alignment horizontal="center" shrinkToFit="0" vertical="center" wrapText="1"/>
    </xf>
    <xf borderId="5" fillId="5" fontId="3" numFmtId="0" xfId="0" applyAlignment="1" applyBorder="1" applyFill="1" applyFont="1">
      <alignment horizontal="center" vertical="center"/>
    </xf>
    <xf borderId="6" fillId="0" fontId="2" numFmtId="0" xfId="0" applyBorder="1" applyFont="1"/>
    <xf borderId="5" fillId="4" fontId="4" numFmtId="3" xfId="0" applyAlignment="1" applyBorder="1" applyFont="1" applyNumberFormat="1">
      <alignment horizontal="center" readingOrder="0" shrinkToFit="0" vertical="center" wrapText="1"/>
    </xf>
    <xf borderId="5" fillId="5" fontId="4" numFmtId="3" xfId="0" applyAlignment="1" applyBorder="1" applyFont="1" applyNumberFormat="1">
      <alignment horizontal="center" readingOrder="0" vertical="center"/>
    </xf>
    <xf borderId="5" fillId="3" fontId="3" numFmtId="0" xfId="0" applyAlignment="1" applyBorder="1" applyFont="1">
      <alignment horizontal="center" shrinkToFit="0" vertical="center" wrapText="1"/>
    </xf>
    <xf borderId="1" fillId="4" fontId="4" numFmtId="3" xfId="0" applyAlignment="1" applyBorder="1" applyFont="1" applyNumberFormat="1">
      <alignment horizontal="center" readingOrder="0" shrinkToFit="0" vertical="center" wrapText="1"/>
    </xf>
    <xf borderId="1" fillId="2" fontId="5" numFmtId="0" xfId="0" applyAlignment="1" applyBorder="1" applyFont="1">
      <alignment horizontal="center" readingOrder="0" shrinkToFit="0" vertical="center" wrapText="1"/>
    </xf>
    <xf borderId="0" fillId="0" fontId="6" numFmtId="0" xfId="0" applyAlignment="1" applyFont="1">
      <alignment shrinkToFit="0" wrapText="1"/>
    </xf>
    <xf borderId="7" fillId="6" fontId="7" numFmtId="0" xfId="0" applyAlignment="1" applyBorder="1" applyFill="1" applyFont="1">
      <alignment horizontal="center" readingOrder="0" shrinkToFit="0" vertical="center" wrapText="1"/>
    </xf>
    <xf borderId="8" fillId="7" fontId="7" numFmtId="0" xfId="0" applyAlignment="1" applyBorder="1" applyFill="1" applyFont="1">
      <alignment horizontal="center" readingOrder="0" shrinkToFit="0" vertical="center" wrapText="1"/>
    </xf>
    <xf borderId="8" fillId="7" fontId="8" numFmtId="0" xfId="0" applyAlignment="1" applyBorder="1" applyFont="1">
      <alignment horizontal="center" readingOrder="0" shrinkToFit="0" vertical="center" wrapText="1"/>
    </xf>
    <xf borderId="8" fillId="7" fontId="9" numFmtId="0" xfId="0" applyAlignment="1" applyBorder="1" applyFont="1">
      <alignment horizontal="center" readingOrder="0" shrinkToFit="0" vertical="center" wrapText="1"/>
    </xf>
    <xf borderId="8" fillId="8" fontId="7" numFmtId="0" xfId="0" applyAlignment="1" applyBorder="1" applyFill="1" applyFont="1">
      <alignment horizontal="center" readingOrder="0" shrinkToFit="0" vertical="center" wrapText="1"/>
    </xf>
    <xf borderId="8" fillId="8" fontId="8" numFmtId="0" xfId="0" applyAlignment="1" applyBorder="1" applyFont="1">
      <alignment horizontal="center" readingOrder="0" shrinkToFit="0" vertical="center" wrapText="1"/>
    </xf>
    <xf borderId="9" fillId="8" fontId="9" numFmtId="0" xfId="0" applyAlignment="1" applyBorder="1" applyFont="1">
      <alignment horizontal="center" readingOrder="0" shrinkToFit="0" vertical="center" wrapText="1"/>
    </xf>
    <xf borderId="10" fillId="3" fontId="7" numFmtId="0" xfId="0" applyAlignment="1" applyBorder="1" applyFont="1">
      <alignment horizontal="center" readingOrder="0" shrinkToFit="0" vertical="center" wrapText="1"/>
    </xf>
    <xf borderId="5" fillId="4" fontId="10" numFmtId="0" xfId="0" applyAlignment="1" applyBorder="1" applyFont="1">
      <alignment horizontal="center" readingOrder="0" shrinkToFit="0" vertical="center" wrapText="1"/>
    </xf>
    <xf borderId="5" fillId="4" fontId="11" numFmtId="0" xfId="0" applyAlignment="1" applyBorder="1" applyFont="1">
      <alignment horizontal="center" readingOrder="0" shrinkToFit="0" vertical="center" wrapText="1"/>
    </xf>
    <xf borderId="5" fillId="4" fontId="12" numFmtId="0" xfId="0" applyAlignment="1" applyBorder="1" applyFont="1">
      <alignment horizontal="center" readingOrder="0" shrinkToFit="0" vertical="center" wrapText="1"/>
    </xf>
    <xf borderId="5" fillId="5" fontId="10" numFmtId="0" xfId="0" applyAlignment="1" applyBorder="1" applyFont="1">
      <alignment horizontal="center" readingOrder="0" vertical="center"/>
    </xf>
    <xf borderId="5" fillId="5" fontId="11" numFmtId="0" xfId="0" applyAlignment="1" applyBorder="1" applyFont="1">
      <alignment horizontal="center" readingOrder="0" vertical="center"/>
    </xf>
    <xf borderId="11" fillId="8" fontId="9" numFmtId="0" xfId="0" applyAlignment="1" applyBorder="1" applyFont="1">
      <alignment horizontal="center" readingOrder="0" shrinkToFit="0" vertical="center" wrapText="1"/>
    </xf>
    <xf borderId="4" fillId="4" fontId="10" numFmtId="0" xfId="0" applyAlignment="1" applyBorder="1" applyFont="1">
      <alignment horizontal="center" readingOrder="0" shrinkToFit="0" vertical="center" wrapText="1"/>
    </xf>
    <xf borderId="4" fillId="4" fontId="11" numFmtId="0" xfId="0" applyAlignment="1" applyBorder="1" applyFont="1">
      <alignment horizontal="center" readingOrder="0" shrinkToFit="0" vertical="center" wrapText="1"/>
    </xf>
    <xf borderId="4" fillId="5" fontId="10" numFmtId="0" xfId="0" applyAlignment="1" applyBorder="1" applyFont="1">
      <alignment horizontal="center" readingOrder="0" vertical="center"/>
    </xf>
    <xf borderId="4" fillId="5" fontId="11" numFmtId="0" xfId="0" applyAlignment="1" applyBorder="1" applyFont="1">
      <alignment horizontal="center" readingOrder="0" vertical="center"/>
    </xf>
    <xf borderId="12" fillId="3" fontId="7" numFmtId="0" xfId="0" applyAlignment="1" applyBorder="1" applyFont="1">
      <alignment horizontal="center" readingOrder="0" shrinkToFit="0" vertical="center" wrapText="1"/>
    </xf>
    <xf borderId="12" fillId="9" fontId="7" numFmtId="0" xfId="0" applyAlignment="1" applyBorder="1" applyFill="1" applyFont="1">
      <alignment horizontal="center" shrinkToFit="0" vertical="center" wrapText="1"/>
    </xf>
    <xf borderId="12" fillId="9" fontId="8" numFmtId="0" xfId="0" applyAlignment="1" applyBorder="1" applyFont="1">
      <alignment horizontal="center" shrinkToFit="0" vertical="center" wrapText="1"/>
    </xf>
    <xf borderId="12" fillId="9" fontId="9" numFmtId="0" xfId="0" applyAlignment="1" applyBorder="1" applyFont="1">
      <alignment horizontal="center" shrinkToFit="0" vertical="center" wrapText="1"/>
    </xf>
    <xf borderId="12" fillId="9" fontId="7" numFmtId="3" xfId="0" applyAlignment="1" applyBorder="1" applyFont="1" applyNumberFormat="1">
      <alignment horizontal="center" readingOrder="0" vertical="center"/>
    </xf>
    <xf borderId="12" fillId="9" fontId="8" numFmtId="0" xfId="0" applyAlignment="1" applyBorder="1" applyFont="1">
      <alignment horizontal="center" readingOrder="0" vertical="center"/>
    </xf>
    <xf borderId="12" fillId="9" fontId="9" numFmtId="3" xfId="0" applyAlignment="1" applyBorder="1" applyFont="1" applyNumberFormat="1">
      <alignment horizontal="center" readingOrder="0" vertical="center"/>
    </xf>
    <xf borderId="13" fillId="4" fontId="7" numFmtId="3" xfId="0" applyAlignment="1" applyBorder="1" applyFont="1" applyNumberFormat="1">
      <alignment horizontal="center" shrinkToFit="0" vertical="center" wrapText="1"/>
    </xf>
    <xf borderId="14" fillId="0" fontId="2" numFmtId="0" xfId="0" applyBorder="1" applyFont="1"/>
    <xf borderId="15" fillId="0" fontId="2" numFmtId="0" xfId="0" applyBorder="1" applyFont="1"/>
    <xf borderId="13" fillId="6" fontId="7" numFmtId="0" xfId="0" applyAlignment="1" applyBorder="1" applyFont="1">
      <alignment horizontal="center" readingOrder="0" shrinkToFit="0" vertical="center" wrapText="1"/>
    </xf>
    <xf borderId="16" fillId="0" fontId="2" numFmtId="0" xfId="0" applyBorder="1" applyFont="1"/>
    <xf borderId="17" fillId="7" fontId="7" numFmtId="0" xfId="0" applyAlignment="1" applyBorder="1" applyFont="1">
      <alignment horizontal="center" readingOrder="0" shrinkToFit="0" vertical="center" wrapText="1"/>
    </xf>
    <xf borderId="17" fillId="7" fontId="8" numFmtId="0" xfId="0" applyAlignment="1" applyBorder="1" applyFont="1">
      <alignment horizontal="center" readingOrder="0" shrinkToFit="0" vertical="center" wrapText="1"/>
    </xf>
    <xf borderId="18" fillId="7" fontId="9" numFmtId="0" xfId="0" applyAlignment="1" applyBorder="1" applyFont="1">
      <alignment horizontal="center" readingOrder="0" shrinkToFit="0" vertical="center" wrapText="1"/>
    </xf>
    <xf borderId="17" fillId="5" fontId="7" numFmtId="0" xfId="0" applyAlignment="1" applyBorder="1" applyFont="1">
      <alignment horizontal="center" readingOrder="0" shrinkToFit="0" vertical="center" wrapText="1"/>
    </xf>
    <xf borderId="19" fillId="5" fontId="9" numFmtId="0" xfId="0" applyAlignment="1" applyBorder="1" applyFont="1">
      <alignment horizontal="center" readingOrder="0" shrinkToFit="0" vertical="center" wrapText="1"/>
    </xf>
    <xf borderId="17" fillId="5" fontId="8" numFmtId="0" xfId="0" applyAlignment="1" applyBorder="1" applyFont="1">
      <alignment horizontal="center" readingOrder="0" shrinkToFit="0" vertical="center" wrapText="1"/>
    </xf>
    <xf borderId="20" fillId="3" fontId="7" numFmtId="0" xfId="0" applyAlignment="1" applyBorder="1" applyFont="1">
      <alignment horizontal="center" readingOrder="0" shrinkToFit="0" vertical="center" wrapText="1"/>
    </xf>
    <xf borderId="8" fillId="3" fontId="7" numFmtId="0" xfId="0" applyAlignment="1" applyBorder="1" applyFont="1">
      <alignment horizontal="center" readingOrder="0" shrinkToFit="0" vertical="center" wrapText="1"/>
    </xf>
    <xf borderId="8" fillId="4" fontId="10" numFmtId="0" xfId="0" applyAlignment="1" applyBorder="1" applyFont="1">
      <alignment horizontal="center" readingOrder="0" shrinkToFit="0" vertical="center" wrapText="1"/>
    </xf>
    <xf borderId="8" fillId="4" fontId="11" numFmtId="0" xfId="0" applyAlignment="1" applyBorder="1" applyFont="1">
      <alignment horizontal="center" readingOrder="0" shrinkToFit="0" vertical="center" wrapText="1"/>
    </xf>
    <xf borderId="8" fillId="4" fontId="12" numFmtId="1" xfId="0" applyAlignment="1" applyBorder="1" applyFont="1" applyNumberFormat="1">
      <alignment horizontal="center" readingOrder="0" shrinkToFit="0" vertical="center" wrapText="1"/>
    </xf>
    <xf borderId="8" fillId="5" fontId="10" numFmtId="0" xfId="0" applyAlignment="1" applyBorder="1" applyFont="1">
      <alignment horizontal="center" readingOrder="0" vertical="center"/>
    </xf>
    <xf borderId="9" fillId="5" fontId="12" numFmtId="1" xfId="0" applyAlignment="1" applyBorder="1" applyFont="1" applyNumberFormat="1">
      <alignment horizontal="center" readingOrder="0" vertical="center"/>
    </xf>
    <xf borderId="8" fillId="5" fontId="11" numFmtId="0" xfId="0" applyAlignment="1" applyBorder="1" applyFont="1">
      <alignment horizontal="center" readingOrder="0" vertical="center"/>
    </xf>
    <xf borderId="21" fillId="0" fontId="2" numFmtId="0" xfId="0" applyBorder="1" applyFont="1"/>
    <xf borderId="5" fillId="3" fontId="7" numFmtId="0" xfId="0" applyAlignment="1" applyBorder="1" applyFont="1">
      <alignment horizontal="center" readingOrder="0" shrinkToFit="0" vertical="center" wrapText="1"/>
    </xf>
    <xf borderId="5" fillId="4" fontId="12" numFmtId="1" xfId="0" applyAlignment="1" applyBorder="1" applyFont="1" applyNumberFormat="1">
      <alignment horizontal="center" readingOrder="0" shrinkToFit="0" vertical="center" wrapText="1"/>
    </xf>
    <xf borderId="5" fillId="5" fontId="10" numFmtId="3" xfId="0" applyAlignment="1" applyBorder="1" applyFont="1" applyNumberFormat="1">
      <alignment horizontal="center" readingOrder="0" vertical="center"/>
    </xf>
    <xf borderId="11" fillId="5" fontId="12" numFmtId="1" xfId="0" applyAlignment="1" applyBorder="1" applyFont="1" applyNumberFormat="1">
      <alignment horizontal="center" readingOrder="0" vertical="center"/>
    </xf>
    <xf borderId="4" fillId="10" fontId="13" numFmtId="0" xfId="0" applyAlignment="1" applyBorder="1" applyFill="1" applyFont="1">
      <alignment horizontal="center" readingOrder="0" shrinkToFit="0" vertical="bottom" wrapText="0"/>
    </xf>
    <xf borderId="5" fillId="10" fontId="13" numFmtId="0" xfId="0" applyAlignment="1" applyBorder="1" applyFont="1">
      <alignment horizontal="center" readingOrder="0" shrinkToFit="0" vertical="bottom" wrapText="0"/>
    </xf>
    <xf borderId="3" fillId="10" fontId="13" numFmtId="0" xfId="0" applyAlignment="1" applyBorder="1" applyFont="1">
      <alignment horizontal="center" readingOrder="0" shrinkToFit="0" vertical="bottom" wrapText="0"/>
    </xf>
    <xf borderId="5" fillId="11" fontId="13" numFmtId="0" xfId="0" applyAlignment="1" applyBorder="1" applyFill="1" applyFont="1">
      <alignment horizontal="center" readingOrder="0" shrinkToFit="0" vertical="bottom" wrapText="1"/>
    </xf>
    <xf borderId="4" fillId="12" fontId="13" numFmtId="0" xfId="0" applyAlignment="1" applyBorder="1" applyFill="1" applyFont="1">
      <alignment horizontal="center" readingOrder="0" shrinkToFit="0" wrapText="0"/>
    </xf>
    <xf borderId="6" fillId="12" fontId="13" numFmtId="0" xfId="0" applyAlignment="1" applyBorder="1" applyFont="1">
      <alignment horizontal="center" readingOrder="0" shrinkToFit="0" wrapText="0"/>
    </xf>
    <xf borderId="5" fillId="12" fontId="13" numFmtId="0" xfId="0" applyAlignment="1" applyBorder="1" applyFont="1">
      <alignment horizontal="center" readingOrder="0" shrinkToFit="0" wrapText="0"/>
    </xf>
    <xf borderId="5" fillId="12" fontId="13" numFmtId="0" xfId="0" applyAlignment="1" applyBorder="1" applyFont="1">
      <alignment horizontal="center" readingOrder="0" shrinkToFit="0" vertical="bottom" wrapText="0"/>
    </xf>
    <xf borderId="3" fillId="12" fontId="13" numFmtId="0" xfId="0" applyAlignment="1" applyBorder="1" applyFont="1">
      <alignment horizontal="center" readingOrder="0" shrinkToFit="0" vertical="bottom" wrapText="0"/>
    </xf>
    <xf borderId="5" fillId="12" fontId="13" numFmtId="0" xfId="0" applyAlignment="1" applyBorder="1" applyFont="1">
      <alignment horizontal="center" shrinkToFit="0" vertical="bottom" wrapText="0"/>
    </xf>
    <xf borderId="22" fillId="0" fontId="2" numFmtId="0" xfId="0" applyBorder="1" applyFont="1"/>
    <xf borderId="22" fillId="12" fontId="13" numFmtId="0" xfId="0" applyAlignment="1" applyBorder="1" applyFont="1">
      <alignment horizontal="center" readingOrder="0" shrinkToFit="0" wrapText="0"/>
    </xf>
    <xf borderId="5" fillId="9" fontId="11" numFmtId="0" xfId="0" applyAlignment="1" applyBorder="1" applyFont="1">
      <alignment horizontal="center" readingOrder="0" shrinkToFit="0" vertical="center" wrapText="1"/>
    </xf>
    <xf borderId="5" fillId="9" fontId="11" numFmtId="0" xfId="0" applyAlignment="1" applyBorder="1" applyFont="1">
      <alignment horizontal="center" readingOrder="0" vertical="center"/>
    </xf>
    <xf borderId="1" fillId="12" fontId="13" numFmtId="0" xfId="0" applyAlignment="1" applyBorder="1" applyFont="1">
      <alignment horizontal="center" readingOrder="0" shrinkToFit="0" vertical="bottom" wrapText="0"/>
    </xf>
    <xf borderId="4" fillId="13" fontId="13" numFmtId="0" xfId="0" applyAlignment="1" applyBorder="1" applyFill="1" applyFont="1">
      <alignment horizontal="center" readingOrder="0" shrinkToFit="0" wrapText="0"/>
    </xf>
    <xf borderId="6" fillId="0" fontId="13" numFmtId="0" xfId="0" applyAlignment="1" applyBorder="1" applyFont="1">
      <alignment horizontal="center" readingOrder="0" shrinkToFit="0" wrapText="0"/>
    </xf>
    <xf borderId="5" fillId="0" fontId="13" numFmtId="0" xfId="0" applyAlignment="1" applyBorder="1" applyFont="1">
      <alignment horizontal="center" readingOrder="0" shrinkToFit="0" vertical="bottom" wrapText="0"/>
    </xf>
    <xf borderId="3" fillId="0" fontId="13" numFmtId="0" xfId="0" applyAlignment="1" applyBorder="1" applyFont="1">
      <alignment horizontal="center" readingOrder="0" shrinkToFit="0" vertical="bottom" wrapText="0"/>
    </xf>
    <xf borderId="5" fillId="13" fontId="13" numFmtId="0" xfId="0" applyAlignment="1" applyBorder="1" applyFont="1">
      <alignment horizontal="center" shrinkToFit="0" vertical="bottom" wrapText="0"/>
    </xf>
    <xf borderId="22" fillId="0" fontId="13" numFmtId="0" xfId="0" applyAlignment="1" applyBorder="1" applyFont="1">
      <alignment horizontal="center" readingOrder="0" shrinkToFit="0" wrapText="0"/>
    </xf>
    <xf borderId="5" fillId="0" fontId="13" numFmtId="0" xfId="0" applyAlignment="1" applyBorder="1" applyFont="1">
      <alignment horizontal="center" readingOrder="0" shrinkToFit="0" wrapText="0"/>
    </xf>
    <xf borderId="5" fillId="5" fontId="12" numFmtId="1" xfId="0" applyAlignment="1" applyBorder="1" applyFont="1" applyNumberFormat="1">
      <alignment horizontal="center" readingOrder="0" vertical="center"/>
    </xf>
    <xf borderId="22" fillId="13" fontId="13" numFmtId="0" xfId="0" applyAlignment="1" applyBorder="1" applyFont="1">
      <alignment horizontal="center" readingOrder="0" shrinkToFit="0" wrapText="0"/>
    </xf>
    <xf borderId="6" fillId="13" fontId="13" numFmtId="0" xfId="0" applyAlignment="1" applyBorder="1" applyFont="1">
      <alignment horizontal="center" readingOrder="0" shrinkToFit="0" wrapText="0"/>
    </xf>
    <xf borderId="5" fillId="13" fontId="13" numFmtId="0" xfId="0" applyAlignment="1" applyBorder="1" applyFont="1">
      <alignment horizontal="center" readingOrder="0" shrinkToFit="0" vertical="bottom" wrapText="0"/>
    </xf>
    <xf borderId="3" fillId="13" fontId="13" numFmtId="0" xfId="0" applyAlignment="1" applyBorder="1" applyFont="1">
      <alignment horizontal="center" readingOrder="0" shrinkToFit="0" vertical="bottom" wrapText="0"/>
    </xf>
    <xf borderId="23" fillId="0" fontId="2" numFmtId="0" xfId="0" applyBorder="1" applyFont="1"/>
    <xf borderId="5" fillId="13" fontId="13" numFmtId="0" xfId="0" applyAlignment="1" applyBorder="1" applyFont="1">
      <alignment horizontal="center" readingOrder="0" shrinkToFit="0" wrapText="0"/>
    </xf>
    <xf borderId="20" fillId="14" fontId="7" numFmtId="0" xfId="0" applyAlignment="1" applyBorder="1" applyFill="1" applyFont="1">
      <alignment horizontal="center" readingOrder="0" shrinkToFit="0" vertical="center" wrapText="1"/>
    </xf>
    <xf borderId="6" fillId="14" fontId="7" numFmtId="0" xfId="0" applyAlignment="1" applyBorder="1" applyFont="1">
      <alignment horizontal="center" readingOrder="0" shrinkToFit="0" vertical="center" wrapText="1"/>
    </xf>
    <xf borderId="6" fillId="4" fontId="10" numFmtId="0" xfId="0" applyAlignment="1" applyBorder="1" applyFont="1">
      <alignment horizontal="center" readingOrder="0" shrinkToFit="0" vertical="center" wrapText="1"/>
    </xf>
    <xf borderId="6" fillId="4" fontId="11" numFmtId="0" xfId="0" applyAlignment="1" applyBorder="1" applyFont="1">
      <alignment horizontal="center" readingOrder="0" shrinkToFit="0" vertical="center" wrapText="1"/>
    </xf>
    <xf borderId="6" fillId="4" fontId="12" numFmtId="1" xfId="0" applyAlignment="1" applyBorder="1" applyFont="1" applyNumberFormat="1">
      <alignment horizontal="center" readingOrder="0" shrinkToFit="0" vertical="center" wrapText="1"/>
    </xf>
    <xf borderId="6" fillId="5" fontId="10" numFmtId="0" xfId="0" applyAlignment="1" applyBorder="1" applyFont="1">
      <alignment horizontal="center" readingOrder="0" vertical="center"/>
    </xf>
    <xf borderId="24" fillId="5" fontId="12" numFmtId="1" xfId="0" applyAlignment="1" applyBorder="1" applyFont="1" applyNumberFormat="1">
      <alignment horizontal="center" readingOrder="0" vertical="center"/>
    </xf>
    <xf borderId="6" fillId="5" fontId="11" numFmtId="0" xfId="0" applyAlignment="1" applyBorder="1" applyFont="1">
      <alignment horizontal="center" readingOrder="0" vertical="center"/>
    </xf>
    <xf borderId="4" fillId="14" fontId="7" numFmtId="0" xfId="0" applyAlignment="1" applyBorder="1" applyFont="1">
      <alignment horizontal="center" readingOrder="0" shrinkToFit="0" vertical="center" wrapText="1"/>
    </xf>
    <xf borderId="4" fillId="9" fontId="11" numFmtId="0" xfId="0" applyAlignment="1" applyBorder="1" applyFont="1">
      <alignment horizontal="center" readingOrder="0" vertical="center"/>
    </xf>
    <xf borderId="20" fillId="15" fontId="7" numFmtId="0" xfId="0" applyAlignment="1" applyBorder="1" applyFill="1" applyFont="1">
      <alignment horizontal="center" readingOrder="0" shrinkToFit="0" vertical="center" wrapText="1"/>
    </xf>
    <xf borderId="8" fillId="15" fontId="7" numFmtId="0" xfId="0" applyAlignment="1" applyBorder="1" applyFont="1">
      <alignment horizontal="center" readingOrder="0" shrinkToFit="0" vertical="center" wrapText="1"/>
    </xf>
    <xf borderId="5" fillId="15" fontId="7" numFmtId="0" xfId="0" applyAlignment="1" applyBorder="1" applyFont="1">
      <alignment horizontal="center" readingOrder="0" shrinkToFit="0" vertical="center" wrapText="1"/>
    </xf>
    <xf borderId="25" fillId="15" fontId="7" numFmtId="0" xfId="0" applyAlignment="1" applyBorder="1" applyFont="1">
      <alignment horizontal="center" readingOrder="0" shrinkToFit="0" vertical="center" wrapText="1"/>
    </xf>
    <xf borderId="25" fillId="4" fontId="10" numFmtId="0" xfId="0" applyAlignment="1" applyBorder="1" applyFont="1">
      <alignment horizontal="center" readingOrder="0" shrinkToFit="0" vertical="center" wrapText="1"/>
    </xf>
    <xf borderId="25" fillId="4" fontId="11" numFmtId="0" xfId="0" applyAlignment="1" applyBorder="1" applyFont="1">
      <alignment horizontal="center" readingOrder="0" shrinkToFit="0" vertical="center" wrapText="1"/>
    </xf>
    <xf borderId="25" fillId="4" fontId="12" numFmtId="1" xfId="0" applyAlignment="1" applyBorder="1" applyFont="1" applyNumberFormat="1">
      <alignment horizontal="center" readingOrder="0" shrinkToFit="0" vertical="center" wrapText="1"/>
    </xf>
    <xf borderId="25" fillId="9" fontId="7" numFmtId="0" xfId="0" applyAlignment="1" applyBorder="1" applyFont="1">
      <alignment horizontal="center" readingOrder="0" shrinkToFit="0" vertical="center" wrapText="1"/>
    </xf>
    <xf borderId="25" fillId="9" fontId="7" numFmtId="1" xfId="0" applyAlignment="1" applyBorder="1" applyFont="1" applyNumberFormat="1">
      <alignment horizontal="center" readingOrder="0" shrinkToFit="0" vertical="center" wrapText="1"/>
    </xf>
    <xf borderId="4" fillId="13" fontId="13" numFmtId="0" xfId="0" applyAlignment="1" applyBorder="1" applyFont="1">
      <alignment horizontal="center" readingOrder="0" shrinkToFit="0" wrapText="0"/>
    </xf>
    <xf borderId="4" fillId="13" fontId="13" numFmtId="0" xfId="0" applyAlignment="1" applyBorder="1" applyFont="1">
      <alignment horizontal="center" readingOrder="0" shrinkToFit="0" wrapText="1"/>
    </xf>
    <xf borderId="0" fillId="13" fontId="13" numFmtId="0" xfId="0" applyAlignment="1" applyFont="1">
      <alignment horizontal="center" readingOrder="0" shrinkToFit="0" wrapText="1"/>
    </xf>
    <xf borderId="13" fillId="2" fontId="5" numFmtId="0" xfId="0" applyAlignment="1" applyBorder="1" applyFont="1">
      <alignment horizontal="center" readingOrder="0" shrinkToFit="0" vertical="center" wrapText="1"/>
    </xf>
    <xf borderId="12" fillId="3" fontId="14" numFmtId="0" xfId="0" applyAlignment="1" applyBorder="1" applyFont="1">
      <alignment horizontal="center" readingOrder="0" shrinkToFit="0" vertical="bottom" wrapText="0"/>
    </xf>
    <xf borderId="26" fillId="3" fontId="14" numFmtId="0" xfId="0" applyAlignment="1" applyBorder="1" applyFont="1">
      <alignment horizontal="center" readingOrder="0" shrinkToFit="0" vertical="bottom" wrapText="0"/>
    </xf>
    <xf borderId="6" fillId="0" fontId="15" numFmtId="3" xfId="0" applyAlignment="1" applyBorder="1" applyFont="1" applyNumberFormat="1">
      <alignment horizontal="center" readingOrder="0" shrinkToFit="0" vertical="bottom" wrapText="0"/>
    </xf>
    <xf borderId="24" fillId="0" fontId="15" numFmtId="164" xfId="0" applyAlignment="1" applyBorder="1" applyFont="1" applyNumberFormat="1">
      <alignment horizontal="center" readingOrder="0" shrinkToFit="0" vertical="bottom" wrapText="0"/>
    </xf>
    <xf borderId="10" fillId="3" fontId="14" numFmtId="0" xfId="0" applyAlignment="1" applyBorder="1" applyFont="1">
      <alignment horizontal="center" readingOrder="0" shrinkToFit="0" vertical="bottom" wrapText="0"/>
    </xf>
    <xf borderId="5" fillId="0" fontId="15" numFmtId="0" xfId="0" applyAlignment="1" applyBorder="1" applyFont="1">
      <alignment horizontal="center" readingOrder="0" shrinkToFit="0" vertical="bottom" wrapText="0"/>
    </xf>
    <xf borderId="11" fillId="0" fontId="15" numFmtId="164" xfId="0" applyAlignment="1" applyBorder="1" applyFont="1" applyNumberFormat="1">
      <alignment horizontal="center" readingOrder="0" shrinkToFit="0" vertical="bottom" wrapText="0"/>
    </xf>
    <xf borderId="12" fillId="0" fontId="15" numFmtId="3" xfId="0" applyAlignment="1" applyBorder="1" applyFont="1" applyNumberFormat="1">
      <alignment horizontal="center" readingOrder="0" shrinkToFit="0" vertical="bottom" wrapText="0"/>
    </xf>
    <xf borderId="12" fillId="0" fontId="15" numFmtId="164" xfId="0" applyAlignment="1" applyBorder="1" applyFont="1" applyNumberFormat="1">
      <alignment horizontal="center" readingOrder="0" shrinkToFit="0" vertical="bottom" wrapText="0"/>
    </xf>
    <xf borderId="0" fillId="0" fontId="16" numFmtId="0" xfId="0" applyAlignment="1" applyFont="1">
      <alignment shrinkToFit="0" vertical="bottom" wrapText="0"/>
    </xf>
    <xf borderId="5" fillId="6" fontId="7" numFmtId="0" xfId="0" applyAlignment="1" applyBorder="1" applyFont="1">
      <alignment horizontal="center" readingOrder="0" shrinkToFit="0" vertical="center" wrapText="1"/>
    </xf>
    <xf borderId="5" fillId="7" fontId="7" numFmtId="0" xfId="0" applyAlignment="1" applyBorder="1" applyFont="1">
      <alignment horizontal="center" readingOrder="0" shrinkToFit="0" vertical="center" wrapText="1"/>
    </xf>
    <xf borderId="5" fillId="7" fontId="17" numFmtId="0" xfId="0" applyAlignment="1" applyBorder="1" applyFont="1">
      <alignment horizontal="center" readingOrder="0" shrinkToFit="0" vertical="center" wrapText="1"/>
    </xf>
    <xf borderId="5" fillId="7" fontId="18" numFmtId="0" xfId="0" applyAlignment="1" applyBorder="1" applyFont="1">
      <alignment horizontal="center" readingOrder="0" shrinkToFit="0" vertical="center" wrapText="1"/>
    </xf>
    <xf borderId="5" fillId="8" fontId="7" numFmtId="0" xfId="0" applyAlignment="1" applyBorder="1" applyFont="1">
      <alignment horizontal="center" readingOrder="0" shrinkToFit="0" vertical="center" wrapText="1"/>
    </xf>
    <xf borderId="5" fillId="8" fontId="17" numFmtId="0" xfId="0" applyAlignment="1" applyBorder="1" applyFont="1">
      <alignment horizontal="center" readingOrder="0" shrinkToFit="0" vertical="center" wrapText="1"/>
    </xf>
    <xf borderId="5" fillId="8" fontId="18" numFmtId="0" xfId="0" applyAlignment="1" applyBorder="1" applyFont="1">
      <alignment horizontal="center" readingOrder="0" shrinkToFit="0" vertical="center" wrapText="1"/>
    </xf>
    <xf borderId="5" fillId="4" fontId="19" numFmtId="10" xfId="0" applyAlignment="1" applyBorder="1" applyFont="1" applyNumberFormat="1">
      <alignment horizontal="center" readingOrder="0" shrinkToFit="0" vertical="center" wrapText="1"/>
    </xf>
    <xf borderId="5" fillId="5" fontId="4" numFmtId="0" xfId="0" applyAlignment="1" applyBorder="1" applyFont="1">
      <alignment horizontal="center"/>
    </xf>
    <xf borderId="11" fillId="8" fontId="20" numFmtId="0" xfId="0" applyAlignment="1" applyBorder="1" applyFont="1">
      <alignment horizontal="center" shrinkToFit="0" wrapText="1"/>
    </xf>
    <xf borderId="5" fillId="5" fontId="19" numFmtId="1" xfId="0" applyAlignment="1" applyBorder="1" applyFont="1" applyNumberFormat="1">
      <alignment horizontal="center" readingOrder="0" vertical="center"/>
    </xf>
    <xf borderId="4" fillId="3" fontId="7" numFmtId="0" xfId="0" applyAlignment="1" applyBorder="1" applyFont="1">
      <alignment horizontal="center" readingOrder="0" shrinkToFit="0" vertical="center" wrapText="1"/>
    </xf>
    <xf borderId="4" fillId="5" fontId="4" numFmtId="0" xfId="0" applyAlignment="1" applyBorder="1" applyFont="1">
      <alignment horizontal="center"/>
    </xf>
    <xf borderId="4" fillId="5" fontId="19" numFmtId="1" xfId="0" applyAlignment="1" applyBorder="1" applyFont="1" applyNumberFormat="1">
      <alignment horizontal="center" readingOrder="0" vertical="center"/>
    </xf>
    <xf borderId="4" fillId="4" fontId="21" numFmtId="0" xfId="0" applyAlignment="1" applyBorder="1" applyFont="1">
      <alignment horizontal="center" readingOrder="0" shrinkToFit="0" vertical="center" wrapText="1"/>
    </xf>
    <xf borderId="12" fillId="4" fontId="10" numFmtId="0" xfId="0" applyAlignment="1" applyBorder="1" applyFont="1">
      <alignment horizontal="center" shrinkToFit="0" vertical="center" wrapText="1"/>
    </xf>
    <xf borderId="12" fillId="4" fontId="21" numFmtId="0" xfId="0" applyAlignment="1" applyBorder="1" applyFont="1">
      <alignment horizontal="center" readingOrder="0" shrinkToFit="0" vertical="center" wrapText="1"/>
    </xf>
    <xf borderId="12" fillId="4" fontId="19" numFmtId="10" xfId="0" applyAlignment="1" applyBorder="1" applyFont="1" applyNumberFormat="1">
      <alignment horizontal="center" readingOrder="0" shrinkToFit="0" vertical="center" wrapText="1"/>
    </xf>
    <xf borderId="12" fillId="5" fontId="10" numFmtId="0" xfId="0" applyAlignment="1" applyBorder="1" applyFont="1">
      <alignment horizontal="center" readingOrder="0" vertical="center"/>
    </xf>
    <xf borderId="12" fillId="5" fontId="21" numFmtId="0" xfId="0" applyAlignment="1" applyBorder="1" applyFont="1">
      <alignment horizontal="center" readingOrder="0" vertical="center"/>
    </xf>
    <xf borderId="12" fillId="5" fontId="19" numFmtId="1" xfId="0" applyAlignment="1" applyBorder="1" applyFont="1" applyNumberFormat="1">
      <alignment horizontal="center" readingOrder="0" vertical="center"/>
    </xf>
    <xf borderId="13" fillId="4" fontId="10" numFmtId="1" xfId="0" applyAlignment="1" applyBorder="1" applyFont="1" applyNumberFormat="1">
      <alignment horizontal="center" shrinkToFit="0" vertical="center" wrapText="1"/>
    </xf>
    <xf borderId="1" fillId="2" fontId="1" numFmtId="0" xfId="0" applyAlignment="1" applyBorder="1" applyFont="1">
      <alignment horizontal="center" shrinkToFit="0" vertical="center" wrapText="1"/>
    </xf>
    <xf borderId="1" fillId="5" fontId="3" numFmtId="0" xfId="0" applyAlignment="1" applyBorder="1" applyFont="1">
      <alignment horizontal="center" vertical="center"/>
    </xf>
    <xf borderId="1" fillId="5" fontId="4" numFmtId="3" xfId="0" applyAlignment="1" applyBorder="1" applyFont="1" applyNumberFormat="1">
      <alignment horizontal="center" readingOrder="0" vertical="center"/>
    </xf>
    <xf borderId="13" fillId="2" fontId="22" numFmtId="0" xfId="0" applyAlignment="1" applyBorder="1" applyFont="1">
      <alignment horizontal="center" readingOrder="0" shrinkToFit="0" vertical="center" wrapText="1"/>
    </xf>
    <xf borderId="4" fillId="12" fontId="13" numFmtId="0" xfId="0" applyAlignment="1" applyBorder="1" applyFont="1">
      <alignment horizontal="center" readingOrder="0" shrinkToFit="0" wrapText="0"/>
    </xf>
    <xf borderId="13" fillId="3" fontId="7" numFmtId="0" xfId="0" applyAlignment="1" applyBorder="1" applyFont="1">
      <alignment horizontal="center" readingOrder="0" shrinkToFit="0" vertical="center" wrapText="1"/>
    </xf>
    <xf borderId="12" fillId="3" fontId="17" numFmtId="0" xfId="0" applyAlignment="1" applyBorder="1" applyFont="1">
      <alignment horizontal="center" readingOrder="0" shrinkToFit="0" vertical="center" wrapText="1"/>
    </xf>
    <xf borderId="12" fillId="3" fontId="23" numFmtId="0" xfId="0" applyAlignment="1" applyBorder="1" applyFont="1">
      <alignment horizontal="center" readingOrder="0" shrinkToFit="0" vertical="center" wrapText="1"/>
    </xf>
    <xf borderId="27" fillId="3" fontId="7" numFmtId="0" xfId="0" applyAlignment="1" applyBorder="1" applyFont="1">
      <alignment horizontal="center" readingOrder="0" shrinkToFit="0" vertical="center" wrapText="1"/>
    </xf>
    <xf borderId="28" fillId="0" fontId="2" numFmtId="0" xfId="0" applyBorder="1" applyFont="1"/>
    <xf borderId="29" fillId="0" fontId="2" numFmtId="0" xfId="0" applyBorder="1" applyFont="1"/>
    <xf borderId="30" fillId="3" fontId="7" numFmtId="0" xfId="0" applyAlignment="1" applyBorder="1" applyFont="1">
      <alignment horizontal="center" readingOrder="0" shrinkToFit="0" vertical="center" wrapText="1"/>
    </xf>
    <xf borderId="30" fillId="3" fontId="17" numFmtId="0" xfId="0" applyAlignment="1" applyBorder="1" applyFont="1">
      <alignment horizontal="center" readingOrder="0" shrinkToFit="0" vertical="center" wrapText="1"/>
    </xf>
    <xf borderId="30" fillId="3" fontId="8" numFmtId="0" xfId="0" applyAlignment="1" applyBorder="1" applyFont="1">
      <alignment horizontal="center" readingOrder="0" shrinkToFit="0" vertical="center" wrapText="1"/>
    </xf>
    <xf borderId="7" fillId="3" fontId="10" numFmtId="0" xfId="0" applyAlignment="1" applyBorder="1" applyFont="1">
      <alignment horizontal="center" readingOrder="0" shrinkToFit="0" vertical="center" wrapText="1"/>
    </xf>
    <xf borderId="8" fillId="15" fontId="10" numFmtId="0" xfId="0" applyAlignment="1" applyBorder="1" applyFont="1">
      <alignment horizontal="center" readingOrder="0" shrinkToFit="0" vertical="center" wrapText="1"/>
    </xf>
    <xf borderId="5" fillId="15" fontId="21" numFmtId="0" xfId="0" applyAlignment="1" applyBorder="1" applyFont="1">
      <alignment horizontal="center" readingOrder="0" shrinkToFit="0" vertical="center" wrapText="1"/>
    </xf>
    <xf borderId="5" fillId="15" fontId="11" numFmtId="0" xfId="0" applyAlignment="1" applyBorder="1" applyFont="1">
      <alignment horizontal="center" readingOrder="0" shrinkToFit="0" vertical="center" wrapText="1"/>
    </xf>
    <xf borderId="31" fillId="3" fontId="10" numFmtId="0" xfId="0" applyAlignment="1" applyBorder="1" applyFont="1">
      <alignment horizontal="center" readingOrder="0" shrinkToFit="0" vertical="center" wrapText="1"/>
    </xf>
    <xf borderId="32" fillId="0" fontId="2" numFmtId="0" xfId="0" applyBorder="1" applyFont="1"/>
    <xf borderId="33" fillId="0" fontId="2" numFmtId="0" xfId="0" applyBorder="1" applyFont="1"/>
    <xf borderId="11" fillId="15" fontId="24" numFmtId="0" xfId="0" applyAlignment="1" applyBorder="1" applyFont="1">
      <alignment horizontal="center" readingOrder="0" shrinkToFit="0" vertical="center" wrapText="1"/>
    </xf>
    <xf borderId="11" fillId="15" fontId="21" numFmtId="0" xfId="0" applyAlignment="1" applyBorder="1" applyFont="1">
      <alignment horizontal="center" readingOrder="0" shrinkToFit="0" vertical="center" wrapText="1"/>
    </xf>
    <xf borderId="11" fillId="15" fontId="11" numFmtId="0" xfId="0" applyAlignment="1" applyBorder="1" applyFont="1">
      <alignment horizontal="center" readingOrder="0" shrinkToFit="0" vertical="center" wrapText="1"/>
    </xf>
    <xf borderId="0" fillId="0" fontId="6" numFmtId="3" xfId="0" applyAlignment="1" applyFont="1" applyNumberFormat="1">
      <alignment readingOrder="0"/>
    </xf>
    <xf borderId="4" fillId="13" fontId="13" numFmtId="0" xfId="0" applyAlignment="1" applyBorder="1" applyFont="1">
      <alignment horizontal="center" readingOrder="0" shrinkToFit="0" wrapText="0"/>
    </xf>
    <xf borderId="5" fillId="0" fontId="13" numFmtId="3" xfId="0" applyAlignment="1" applyBorder="1" applyFont="1" applyNumberFormat="1">
      <alignment horizontal="center" readingOrder="0" shrinkToFit="0" vertical="bottom" wrapText="0"/>
    </xf>
    <xf borderId="5" fillId="13" fontId="13" numFmtId="3" xfId="0" applyAlignment="1" applyBorder="1" applyFont="1" applyNumberFormat="1">
      <alignment horizontal="center" shrinkToFit="0" vertical="bottom" wrapText="0"/>
    </xf>
    <xf borderId="10" fillId="3" fontId="10" numFmtId="0" xfId="0" applyAlignment="1" applyBorder="1" applyFont="1">
      <alignment horizontal="center" readingOrder="0" shrinkToFit="0" vertical="center" wrapText="1"/>
    </xf>
    <xf borderId="5" fillId="15" fontId="10" numFmtId="0" xfId="0" applyAlignment="1" applyBorder="1" applyFont="1">
      <alignment horizontal="center" readingOrder="0" shrinkToFit="0" vertical="center" wrapText="1"/>
    </xf>
    <xf borderId="34" fillId="3" fontId="10" numFmtId="0" xfId="0" applyAlignment="1" applyBorder="1" applyFont="1">
      <alignment horizontal="center" readingOrder="0" shrinkToFit="0" vertical="center" wrapText="1"/>
    </xf>
    <xf borderId="11" fillId="15" fontId="25" numFmtId="3" xfId="0" applyAlignment="1" applyBorder="1" applyFont="1" applyNumberFormat="1">
      <alignment horizontal="center" readingOrder="0" shrinkToFit="0" vertical="bottom" wrapText="1"/>
    </xf>
    <xf borderId="11" fillId="15" fontId="26" numFmtId="3" xfId="0" applyAlignment="1" applyBorder="1" applyFont="1" applyNumberFormat="1">
      <alignment horizontal="center" readingOrder="0" shrinkToFit="0" vertical="bottom" wrapText="1"/>
    </xf>
    <xf borderId="11" fillId="15" fontId="25" numFmtId="0" xfId="0" applyAlignment="1" applyBorder="1" applyFont="1">
      <alignment horizontal="center" readingOrder="0" shrinkToFit="0" vertical="bottom" wrapText="1"/>
    </xf>
    <xf borderId="11" fillId="15" fontId="26" numFmtId="0" xfId="0" applyAlignment="1" applyBorder="1" applyFont="1">
      <alignment horizontal="center" shrinkToFit="0" vertical="bottom" wrapText="1"/>
    </xf>
    <xf borderId="11" fillId="15" fontId="26" numFmtId="0" xfId="0" applyAlignment="1" applyBorder="1" applyFont="1">
      <alignment horizontal="center" readingOrder="0" shrinkToFit="0" vertical="bottom" wrapText="1"/>
    </xf>
    <xf borderId="11" fillId="15" fontId="24" numFmtId="3" xfId="0" applyAlignment="1" applyBorder="1" applyFont="1" applyNumberFormat="1">
      <alignment horizontal="center" readingOrder="0" shrinkToFit="0" vertical="center" wrapText="1"/>
    </xf>
    <xf borderId="11" fillId="15" fontId="21" numFmtId="3" xfId="0" applyAlignment="1" applyBorder="1" applyFont="1" applyNumberFormat="1">
      <alignment horizontal="center" readingOrder="0" shrinkToFit="0" vertical="center" wrapText="1"/>
    </xf>
    <xf borderId="35" fillId="3" fontId="10" numFmtId="0" xfId="0" applyAlignment="1" applyBorder="1" applyFont="1">
      <alignment horizontal="center" readingOrder="0" shrinkToFit="0" vertical="center" wrapText="1"/>
    </xf>
    <xf borderId="36" fillId="0" fontId="2" numFmtId="0" xfId="0" applyBorder="1" applyFont="1"/>
    <xf borderId="37" fillId="0" fontId="2" numFmtId="0" xfId="0" applyBorder="1" applyFont="1"/>
    <xf borderId="38" fillId="3" fontId="10" numFmtId="0" xfId="0" applyAlignment="1" applyBorder="1" applyFont="1">
      <alignment horizontal="center" readingOrder="0" shrinkToFit="0" vertical="center" wrapText="1"/>
    </xf>
    <xf borderId="39" fillId="3" fontId="10" numFmtId="0" xfId="0" applyAlignment="1" applyBorder="1" applyFont="1">
      <alignment horizontal="center" readingOrder="0" shrinkToFit="0" vertical="center" wrapText="1"/>
    </xf>
    <xf borderId="40" fillId="0" fontId="2" numFmtId="0" xfId="0" applyBorder="1" applyFont="1"/>
    <xf borderId="41" fillId="0" fontId="2" numFmtId="0" xfId="0" applyBorder="1" applyFont="1"/>
    <xf borderId="12" fillId="3" fontId="8" numFmtId="0" xfId="0" applyAlignment="1" applyBorder="1" applyFont="1">
      <alignment horizontal="center" readingOrder="0" shrinkToFit="0" vertical="center" wrapText="1"/>
    </xf>
    <xf borderId="12" fillId="3" fontId="27" numFmtId="0" xfId="0" applyAlignment="1" applyBorder="1" applyFont="1">
      <alignment horizontal="center" readingOrder="0" shrinkToFit="0" vertical="center" wrapText="1"/>
    </xf>
    <xf borderId="12" fillId="3" fontId="9" numFmtId="0" xfId="0" applyAlignment="1" applyBorder="1" applyFont="1">
      <alignment horizontal="center" readingOrder="0" shrinkToFit="0" vertical="center" wrapText="1"/>
    </xf>
    <xf borderId="5" fillId="0" fontId="13" numFmtId="0" xfId="0" applyAlignment="1" applyBorder="1" applyFont="1">
      <alignment horizontal="center" shrinkToFit="0" vertical="bottom" wrapText="0"/>
    </xf>
    <xf borderId="4" fillId="12" fontId="13" numFmtId="0" xfId="0" applyAlignment="1" applyBorder="1" applyFont="1">
      <alignment horizontal="center" readingOrder="0" shrinkToFit="0" vertical="bottom" wrapText="0"/>
    </xf>
    <xf borderId="4" fillId="12" fontId="13" numFmtId="0" xfId="0" applyAlignment="1" applyBorder="1" applyFont="1">
      <alignment horizontal="center" shrinkToFit="0" vertical="bottom" wrapText="0"/>
    </xf>
    <xf borderId="37" fillId="12" fontId="13" numFmtId="0" xfId="0" applyAlignment="1" applyBorder="1" applyFont="1">
      <alignment horizontal="center" readingOrder="0" shrinkToFit="0" vertical="bottom" wrapText="0"/>
    </xf>
    <xf borderId="42" fillId="12" fontId="13" numFmtId="0" xfId="0" applyAlignment="1" applyBorder="1" applyFont="1">
      <alignment horizontal="center" readingOrder="0" shrinkToFit="0" vertical="bottom" wrapText="0"/>
    </xf>
    <xf borderId="4" fillId="14" fontId="28" numFmtId="0" xfId="0" applyAlignment="1" applyBorder="1" applyFont="1">
      <alignment horizontal="center" readingOrder="0" shrinkToFit="0" wrapText="1"/>
    </xf>
    <xf borderId="5" fillId="14" fontId="13" numFmtId="0" xfId="0" applyAlignment="1" applyBorder="1" applyFont="1">
      <alignment horizontal="center" readingOrder="0" shrinkToFit="0" wrapText="0"/>
    </xf>
    <xf borderId="37" fillId="14" fontId="13" numFmtId="0" xfId="0" applyAlignment="1" applyBorder="1" applyFont="1">
      <alignment horizontal="center" shrinkToFit="0" vertical="bottom" wrapText="0"/>
    </xf>
    <xf borderId="4" fillId="14" fontId="13" numFmtId="0" xfId="0" applyAlignment="1" applyBorder="1" applyFont="1">
      <alignment horizontal="center" shrinkToFit="0" vertical="bottom" wrapText="0"/>
    </xf>
    <xf borderId="4" fillId="14" fontId="13" numFmtId="0" xfId="0" applyAlignment="1" applyBorder="1" applyFont="1">
      <alignment horizontal="center" readingOrder="0" shrinkToFit="0" vertical="bottom" wrapText="0"/>
    </xf>
    <xf borderId="42" fillId="14" fontId="13" numFmtId="0" xfId="0" applyAlignment="1" applyBorder="1" applyFont="1">
      <alignment horizontal="center" shrinkToFit="0" vertical="bottom" wrapText="0"/>
    </xf>
    <xf borderId="5" fillId="14" fontId="13" numFmtId="0" xfId="0" applyAlignment="1" applyBorder="1" applyFont="1">
      <alignment horizontal="center" shrinkToFit="0" vertical="bottom" wrapText="0"/>
    </xf>
    <xf borderId="22" fillId="14" fontId="13" numFmtId="0" xfId="0" applyAlignment="1" applyBorder="1" applyFont="1">
      <alignment horizontal="center" readingOrder="0" shrinkToFit="0" wrapText="0"/>
    </xf>
    <xf borderId="3" fillId="14" fontId="16" numFmtId="0" xfId="0" applyAlignment="1" applyBorder="1" applyFont="1">
      <alignment shrinkToFit="0" vertical="bottom" wrapText="0"/>
    </xf>
    <xf borderId="5" fillId="14" fontId="16" numFmtId="0" xfId="0" applyAlignment="1" applyBorder="1" applyFont="1">
      <alignment shrinkToFit="0" vertical="bottom" wrapText="0"/>
    </xf>
    <xf borderId="5" fillId="14" fontId="16" numFmtId="0" xfId="0" applyAlignment="1" applyBorder="1" applyFont="1">
      <alignment horizontal="center" readingOrder="0" shrinkToFit="0" vertical="bottom" wrapText="0"/>
    </xf>
    <xf borderId="5" fillId="4" fontId="3" numFmtId="0" xfId="0" applyAlignment="1" applyBorder="1" applyFont="1">
      <alignment horizontal="center" readingOrder="0" shrinkToFit="0" vertical="center" wrapText="1"/>
    </xf>
    <xf borderId="5" fillId="4" fontId="4" numFmtId="0" xfId="0" applyAlignment="1" applyBorder="1" applyFont="1">
      <alignment horizontal="center" readingOrder="0" shrinkToFit="0" vertical="center" wrapText="1"/>
    </xf>
    <xf borderId="5" fillId="3" fontId="7" numFmtId="0" xfId="0" applyAlignment="1" applyBorder="1" applyFont="1">
      <alignment horizontal="center" readingOrder="0"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33.63"/>
    <col customWidth="1" min="4" max="4" width="19.25"/>
    <col customWidth="1" min="5" max="5" width="17.5"/>
    <col customWidth="1" min="6" max="9" width="18.38"/>
    <col customWidth="1" min="12" max="12" width="0.38"/>
    <col customWidth="1" min="13" max="13" width="42.63"/>
    <col customWidth="1" min="21" max="23" width="11.38"/>
    <col customWidth="1" min="24" max="24" width="10.75"/>
    <col customWidth="1" min="25" max="25" width="10.25"/>
    <col customWidth="1" min="26" max="26" width="7.75"/>
    <col customWidth="1" min="27" max="27" width="14.75"/>
  </cols>
  <sheetData>
    <row r="2">
      <c r="C2" s="1" t="s">
        <v>0</v>
      </c>
      <c r="D2" s="2"/>
      <c r="E2" s="3"/>
    </row>
    <row r="4">
      <c r="C4" s="4" t="s">
        <v>1</v>
      </c>
      <c r="D4" s="5" t="s">
        <v>2</v>
      </c>
      <c r="E4" s="6" t="s">
        <v>3</v>
      </c>
    </row>
    <row r="5">
      <c r="C5" s="7"/>
      <c r="D5" s="8">
        <v>11404.0</v>
      </c>
      <c r="E5" s="9">
        <v>7287.0</v>
      </c>
    </row>
    <row r="6">
      <c r="C6" s="10" t="s">
        <v>4</v>
      </c>
      <c r="D6" s="11">
        <f>sum(E5,D5)</f>
        <v>18691</v>
      </c>
      <c r="E6" s="3"/>
    </row>
    <row r="8">
      <c r="C8" s="12" t="s">
        <v>5</v>
      </c>
      <c r="D8" s="2"/>
      <c r="E8" s="2"/>
      <c r="F8" s="2"/>
      <c r="G8" s="2"/>
      <c r="H8" s="2"/>
      <c r="I8" s="3"/>
    </row>
    <row r="9">
      <c r="C9" s="13"/>
      <c r="D9" s="13"/>
    </row>
    <row r="10">
      <c r="C10" s="14" t="s">
        <v>6</v>
      </c>
      <c r="D10" s="15" t="s">
        <v>7</v>
      </c>
      <c r="E10" s="16" t="s">
        <v>8</v>
      </c>
      <c r="F10" s="17" t="s">
        <v>9</v>
      </c>
      <c r="G10" s="18" t="s">
        <v>10</v>
      </c>
      <c r="H10" s="19" t="s">
        <v>11</v>
      </c>
      <c r="I10" s="20" t="s">
        <v>12</v>
      </c>
    </row>
    <row r="11">
      <c r="C11" s="21" t="s">
        <v>13</v>
      </c>
      <c r="D11" s="22">
        <v>859.0</v>
      </c>
      <c r="E11" s="23">
        <v>256.0</v>
      </c>
      <c r="F11" s="24">
        <v>603.0</v>
      </c>
      <c r="G11" s="25">
        <v>555.0</v>
      </c>
      <c r="H11" s="26">
        <v>31.0</v>
      </c>
      <c r="I11" s="27">
        <v>524.0</v>
      </c>
    </row>
    <row r="12">
      <c r="C12" s="21" t="s">
        <v>14</v>
      </c>
      <c r="D12" s="22">
        <v>782.0</v>
      </c>
      <c r="E12" s="23">
        <v>216.0</v>
      </c>
      <c r="F12" s="24">
        <v>566.0</v>
      </c>
      <c r="G12" s="25">
        <v>577.0</v>
      </c>
      <c r="H12" s="26">
        <v>60.0</v>
      </c>
      <c r="I12" s="27">
        <v>516.0</v>
      </c>
    </row>
    <row r="13">
      <c r="C13" s="21" t="s">
        <v>15</v>
      </c>
      <c r="D13" s="22">
        <v>761.0</v>
      </c>
      <c r="E13" s="23">
        <v>143.0</v>
      </c>
      <c r="F13" s="24">
        <v>618.0</v>
      </c>
      <c r="G13" s="25">
        <v>444.0</v>
      </c>
      <c r="H13" s="26">
        <v>40.0</v>
      </c>
      <c r="I13" s="27">
        <v>404.0</v>
      </c>
    </row>
    <row r="14">
      <c r="C14" s="21" t="s">
        <v>16</v>
      </c>
      <c r="D14" s="22">
        <v>1380.0</v>
      </c>
      <c r="E14" s="23">
        <v>421.0</v>
      </c>
      <c r="F14" s="24">
        <v>959.0</v>
      </c>
      <c r="G14" s="25">
        <v>755.0</v>
      </c>
      <c r="H14" s="26">
        <v>66.0</v>
      </c>
      <c r="I14" s="27">
        <v>689.0</v>
      </c>
    </row>
    <row r="15">
      <c r="C15" s="21" t="s">
        <v>17</v>
      </c>
      <c r="D15" s="22">
        <v>1269.0</v>
      </c>
      <c r="E15" s="23">
        <v>363.0</v>
      </c>
      <c r="F15" s="24">
        <v>906.0</v>
      </c>
      <c r="G15" s="25">
        <v>631.0</v>
      </c>
      <c r="H15" s="26">
        <v>87.0</v>
      </c>
      <c r="I15" s="27">
        <v>544.0</v>
      </c>
    </row>
    <row r="16">
      <c r="C16" s="21" t="s">
        <v>18</v>
      </c>
      <c r="D16" s="22">
        <v>704.0</v>
      </c>
      <c r="E16" s="23">
        <v>186.0</v>
      </c>
      <c r="F16" s="24">
        <v>518.0</v>
      </c>
      <c r="G16" s="25">
        <v>499.0</v>
      </c>
      <c r="H16" s="26">
        <v>23.0</v>
      </c>
      <c r="I16" s="27">
        <v>476.0</v>
      </c>
    </row>
    <row r="17">
      <c r="C17" s="21" t="s">
        <v>19</v>
      </c>
      <c r="D17" s="22">
        <v>1130.0</v>
      </c>
      <c r="E17" s="23">
        <v>315.0</v>
      </c>
      <c r="F17" s="24">
        <v>815.0</v>
      </c>
      <c r="G17" s="25">
        <v>775.0</v>
      </c>
      <c r="H17" s="26">
        <v>35.0</v>
      </c>
      <c r="I17" s="27">
        <v>740.0</v>
      </c>
    </row>
    <row r="18">
      <c r="C18" s="21" t="s">
        <v>20</v>
      </c>
      <c r="D18" s="22">
        <v>1107.0</v>
      </c>
      <c r="E18" s="23">
        <v>315.0</v>
      </c>
      <c r="F18" s="24">
        <v>792.0</v>
      </c>
      <c r="G18" s="25">
        <v>517.0</v>
      </c>
      <c r="H18" s="26">
        <v>11.0</v>
      </c>
      <c r="I18" s="27">
        <v>506.0</v>
      </c>
    </row>
    <row r="19">
      <c r="C19" s="21" t="s">
        <v>21</v>
      </c>
      <c r="D19" s="22">
        <v>806.0</v>
      </c>
      <c r="E19" s="23">
        <v>205.0</v>
      </c>
      <c r="F19" s="24">
        <v>601.0</v>
      </c>
      <c r="G19" s="25">
        <v>550.0</v>
      </c>
      <c r="H19" s="26">
        <v>30.0</v>
      </c>
      <c r="I19" s="27">
        <v>520.0</v>
      </c>
    </row>
    <row r="20">
      <c r="C20" s="21" t="s">
        <v>22</v>
      </c>
      <c r="D20" s="22">
        <v>803.0</v>
      </c>
      <c r="E20" s="23">
        <v>227.0</v>
      </c>
      <c r="F20" s="24">
        <v>576.0</v>
      </c>
      <c r="G20" s="25">
        <v>691.0</v>
      </c>
      <c r="H20" s="26">
        <v>39.0</v>
      </c>
      <c r="I20" s="27">
        <v>652.0</v>
      </c>
    </row>
    <row r="21">
      <c r="C21" s="21" t="s">
        <v>23</v>
      </c>
      <c r="D21" s="28">
        <v>935.0</v>
      </c>
      <c r="E21" s="29">
        <v>227.0</v>
      </c>
      <c r="F21" s="24">
        <v>708.0</v>
      </c>
      <c r="G21" s="30">
        <v>648.0</v>
      </c>
      <c r="H21" s="31">
        <v>38.0</v>
      </c>
      <c r="I21" s="27">
        <v>610.0</v>
      </c>
    </row>
    <row r="22">
      <c r="C22" s="21" t="s">
        <v>24</v>
      </c>
      <c r="D22" s="28">
        <v>868.0</v>
      </c>
      <c r="E22" s="29">
        <v>185.0</v>
      </c>
      <c r="F22" s="24">
        <v>683.0</v>
      </c>
      <c r="G22" s="30">
        <v>645.0</v>
      </c>
      <c r="H22" s="31">
        <v>29.0</v>
      </c>
      <c r="I22" s="27">
        <v>616.0</v>
      </c>
    </row>
    <row r="23">
      <c r="C23" s="32" t="s">
        <v>4</v>
      </c>
      <c r="D23" s="33">
        <f t="shared" ref="D23:F23" si="1">SUM(D11:D22)</f>
        <v>11404</v>
      </c>
      <c r="E23" s="34">
        <f t="shared" si="1"/>
        <v>3059</v>
      </c>
      <c r="F23" s="35">
        <f t="shared" si="1"/>
        <v>8345</v>
      </c>
      <c r="G23" s="36">
        <f t="shared" ref="G23:I23" si="2">sum(G11:G22)</f>
        <v>7287</v>
      </c>
      <c r="H23" s="37">
        <f t="shared" si="2"/>
        <v>489</v>
      </c>
      <c r="I23" s="38">
        <f t="shared" si="2"/>
        <v>6797</v>
      </c>
    </row>
    <row r="24">
      <c r="C24" s="32" t="s">
        <v>25</v>
      </c>
      <c r="D24" s="39">
        <f>D23+G23</f>
        <v>18691</v>
      </c>
      <c r="E24" s="40"/>
      <c r="F24" s="40"/>
      <c r="G24" s="40"/>
      <c r="H24" s="40"/>
      <c r="I24" s="41"/>
    </row>
    <row r="30" ht="33.0" customHeight="1">
      <c r="B30" s="12" t="s">
        <v>26</v>
      </c>
      <c r="C30" s="2"/>
      <c r="D30" s="2"/>
      <c r="E30" s="2"/>
      <c r="F30" s="2"/>
      <c r="G30" s="2"/>
      <c r="H30" s="2"/>
      <c r="I30" s="3"/>
    </row>
    <row r="31">
      <c r="B31" s="13"/>
      <c r="C31" s="13"/>
      <c r="D31" s="13"/>
      <c r="E31" s="13"/>
    </row>
    <row r="32">
      <c r="B32" s="42" t="s">
        <v>27</v>
      </c>
      <c r="C32" s="43"/>
      <c r="D32" s="44" t="s">
        <v>7</v>
      </c>
      <c r="E32" s="45" t="s">
        <v>28</v>
      </c>
      <c r="F32" s="46" t="s">
        <v>29</v>
      </c>
      <c r="G32" s="47" t="s">
        <v>10</v>
      </c>
      <c r="H32" s="48" t="s">
        <v>30</v>
      </c>
      <c r="I32" s="49" t="s">
        <v>31</v>
      </c>
    </row>
    <row r="33">
      <c r="B33" s="50" t="s">
        <v>32</v>
      </c>
      <c r="C33" s="51" t="s">
        <v>33</v>
      </c>
      <c r="D33" s="52">
        <v>649.0</v>
      </c>
      <c r="E33" s="53">
        <v>162.0</v>
      </c>
      <c r="F33" s="54">
        <v>487.0</v>
      </c>
      <c r="G33" s="55">
        <v>26.0</v>
      </c>
      <c r="H33" s="56">
        <v>26.0</v>
      </c>
      <c r="I33" s="57">
        <v>0.0</v>
      </c>
    </row>
    <row r="34" ht="27.0" customHeight="1">
      <c r="B34" s="58"/>
      <c r="C34" s="59" t="s">
        <v>34</v>
      </c>
      <c r="D34" s="22">
        <v>894.0</v>
      </c>
      <c r="E34" s="23">
        <v>189.0</v>
      </c>
      <c r="F34" s="60">
        <v>705.0</v>
      </c>
      <c r="G34" s="61">
        <v>2300.0</v>
      </c>
      <c r="H34" s="62">
        <v>2296.0</v>
      </c>
      <c r="I34" s="26">
        <v>4.0</v>
      </c>
      <c r="M34" s="63" t="s">
        <v>35</v>
      </c>
      <c r="N34" s="64" t="s">
        <v>36</v>
      </c>
      <c r="O34" s="64" t="s">
        <v>13</v>
      </c>
      <c r="P34" s="64" t="s">
        <v>14</v>
      </c>
      <c r="Q34" s="65" t="s">
        <v>15</v>
      </c>
      <c r="R34" s="64" t="s">
        <v>16</v>
      </c>
      <c r="S34" s="64" t="s">
        <v>17</v>
      </c>
      <c r="T34" s="64" t="s">
        <v>18</v>
      </c>
      <c r="U34" s="64" t="s">
        <v>19</v>
      </c>
      <c r="V34" s="64" t="s">
        <v>20</v>
      </c>
      <c r="W34" s="64" t="s">
        <v>21</v>
      </c>
      <c r="X34" s="64" t="s">
        <v>22</v>
      </c>
      <c r="Y34" s="64" t="s">
        <v>23</v>
      </c>
      <c r="Z34" s="64" t="s">
        <v>24</v>
      </c>
      <c r="AA34" s="66" t="s">
        <v>37</v>
      </c>
    </row>
    <row r="35">
      <c r="B35" s="58"/>
      <c r="C35" s="59" t="s">
        <v>38</v>
      </c>
      <c r="D35" s="22">
        <v>45.0</v>
      </c>
      <c r="E35" s="23">
        <v>10.0</v>
      </c>
      <c r="F35" s="60">
        <v>35.0</v>
      </c>
      <c r="G35" s="25">
        <v>2.0</v>
      </c>
      <c r="H35" s="62">
        <v>2.0</v>
      </c>
      <c r="I35" s="26">
        <v>0.0</v>
      </c>
      <c r="M35" s="67" t="s">
        <v>33</v>
      </c>
      <c r="N35" s="68" t="s">
        <v>4</v>
      </c>
      <c r="O35" s="69">
        <v>26.0</v>
      </c>
      <c r="P35" s="70">
        <v>22.0</v>
      </c>
      <c r="Q35" s="70">
        <v>58.0</v>
      </c>
      <c r="R35" s="70">
        <v>58.0</v>
      </c>
      <c r="S35" s="70">
        <v>23.0</v>
      </c>
      <c r="T35" s="70">
        <v>42.0</v>
      </c>
      <c r="U35" s="70">
        <v>78.0</v>
      </c>
      <c r="V35" s="70">
        <v>52.0</v>
      </c>
      <c r="W35" s="70">
        <v>69.0</v>
      </c>
      <c r="X35" s="71">
        <v>57.0</v>
      </c>
      <c r="Y35" s="70">
        <v>73.0</v>
      </c>
      <c r="Z35" s="70">
        <v>91.0</v>
      </c>
      <c r="AA35" s="72">
        <f t="shared" ref="AA35:AA94" si="3">SUM(O35:Z35)</f>
        <v>649</v>
      </c>
    </row>
    <row r="36">
      <c r="B36" s="58"/>
      <c r="C36" s="59" t="s">
        <v>39</v>
      </c>
      <c r="D36" s="22">
        <v>160.0</v>
      </c>
      <c r="E36" s="23">
        <v>41.0</v>
      </c>
      <c r="F36" s="60">
        <v>119.0</v>
      </c>
      <c r="G36" s="25">
        <v>102.0</v>
      </c>
      <c r="H36" s="62">
        <v>63.0</v>
      </c>
      <c r="I36" s="26">
        <v>39.0</v>
      </c>
      <c r="M36" s="73"/>
      <c r="N36" s="74" t="s">
        <v>40</v>
      </c>
      <c r="O36" s="69">
        <v>20.0</v>
      </c>
      <c r="P36" s="70">
        <v>14.0</v>
      </c>
      <c r="Q36" s="70">
        <v>54.0</v>
      </c>
      <c r="R36" s="70">
        <v>47.0</v>
      </c>
      <c r="S36" s="70">
        <v>18.0</v>
      </c>
      <c r="T36" s="70">
        <v>31.0</v>
      </c>
      <c r="U36" s="70">
        <v>54.0</v>
      </c>
      <c r="V36" s="70">
        <v>44.0</v>
      </c>
      <c r="W36" s="70">
        <v>53.0</v>
      </c>
      <c r="X36" s="71">
        <v>38.0</v>
      </c>
      <c r="Y36" s="70">
        <v>49.0</v>
      </c>
      <c r="Z36" s="70">
        <v>65.0</v>
      </c>
      <c r="AA36" s="72">
        <f t="shared" si="3"/>
        <v>487</v>
      </c>
    </row>
    <row r="37">
      <c r="B37" s="58"/>
      <c r="C37" s="59" t="s">
        <v>41</v>
      </c>
      <c r="D37" s="22">
        <v>2203.0</v>
      </c>
      <c r="E37" s="75">
        <v>713.0</v>
      </c>
      <c r="F37" s="60">
        <v>1490.0</v>
      </c>
      <c r="G37" s="25">
        <v>2377.0</v>
      </c>
      <c r="H37" s="62">
        <v>2140.0</v>
      </c>
      <c r="I37" s="76">
        <v>237.0</v>
      </c>
      <c r="M37" s="73"/>
      <c r="N37" s="69" t="s">
        <v>42</v>
      </c>
      <c r="O37" s="69">
        <v>6.0</v>
      </c>
      <c r="P37" s="70">
        <v>8.0</v>
      </c>
      <c r="Q37" s="70">
        <v>4.0</v>
      </c>
      <c r="R37" s="70">
        <v>11.0</v>
      </c>
      <c r="S37" s="70">
        <v>5.0</v>
      </c>
      <c r="T37" s="70">
        <v>11.0</v>
      </c>
      <c r="U37" s="70">
        <v>24.0</v>
      </c>
      <c r="V37" s="70">
        <v>8.0</v>
      </c>
      <c r="W37" s="70">
        <v>16.0</v>
      </c>
      <c r="X37" s="71">
        <v>19.0</v>
      </c>
      <c r="Y37" s="70">
        <v>24.0</v>
      </c>
      <c r="Z37" s="77">
        <v>26.0</v>
      </c>
      <c r="AA37" s="72">
        <f t="shared" si="3"/>
        <v>162</v>
      </c>
    </row>
    <row r="38">
      <c r="B38" s="58"/>
      <c r="C38" s="59" t="s">
        <v>43</v>
      </c>
      <c r="D38" s="22">
        <v>918.0</v>
      </c>
      <c r="E38" s="23">
        <v>306.0</v>
      </c>
      <c r="F38" s="60">
        <v>612.0</v>
      </c>
      <c r="G38" s="25">
        <v>430.0</v>
      </c>
      <c r="H38" s="62">
        <v>327.0</v>
      </c>
      <c r="I38" s="76">
        <v>103.0</v>
      </c>
      <c r="M38" s="78" t="s">
        <v>34</v>
      </c>
      <c r="N38" s="79" t="s">
        <v>4</v>
      </c>
      <c r="O38" s="80">
        <v>66.0</v>
      </c>
      <c r="P38" s="80">
        <v>105.0</v>
      </c>
      <c r="Q38" s="80">
        <v>27.0</v>
      </c>
      <c r="R38" s="80">
        <v>66.0</v>
      </c>
      <c r="S38" s="80">
        <v>91.0</v>
      </c>
      <c r="T38" s="80">
        <v>45.0</v>
      </c>
      <c r="U38" s="80">
        <v>57.0</v>
      </c>
      <c r="V38" s="80">
        <v>78.0</v>
      </c>
      <c r="W38" s="80">
        <v>47.0</v>
      </c>
      <c r="X38" s="81">
        <v>36.0</v>
      </c>
      <c r="Y38" s="80">
        <v>125.0</v>
      </c>
      <c r="Z38" s="80">
        <v>151.0</v>
      </c>
      <c r="AA38" s="82">
        <f t="shared" si="3"/>
        <v>894</v>
      </c>
    </row>
    <row r="39">
      <c r="B39" s="58"/>
      <c r="C39" s="59" t="s">
        <v>44</v>
      </c>
      <c r="D39" s="22">
        <v>29.0</v>
      </c>
      <c r="E39" s="75">
        <v>15.0</v>
      </c>
      <c r="F39" s="60">
        <v>14.0</v>
      </c>
      <c r="G39" s="25">
        <v>0.0</v>
      </c>
      <c r="H39" s="62">
        <v>0.0</v>
      </c>
      <c r="I39" s="26">
        <v>0.0</v>
      </c>
      <c r="M39" s="73"/>
      <c r="N39" s="83" t="s">
        <v>40</v>
      </c>
      <c r="O39" s="80">
        <v>48.0</v>
      </c>
      <c r="P39" s="80">
        <v>89.0</v>
      </c>
      <c r="Q39" s="80">
        <v>23.0</v>
      </c>
      <c r="R39" s="80">
        <v>52.0</v>
      </c>
      <c r="S39" s="80">
        <v>50.0</v>
      </c>
      <c r="T39" s="80">
        <v>39.0</v>
      </c>
      <c r="U39" s="80">
        <v>48.0</v>
      </c>
      <c r="V39" s="80">
        <v>54.0</v>
      </c>
      <c r="W39" s="80">
        <v>40.0</v>
      </c>
      <c r="X39" s="81">
        <v>25.0</v>
      </c>
      <c r="Y39" s="80">
        <v>97.0</v>
      </c>
      <c r="Z39" s="80">
        <v>140.0</v>
      </c>
      <c r="AA39" s="82">
        <f t="shared" si="3"/>
        <v>705</v>
      </c>
    </row>
    <row r="40">
      <c r="B40" s="58"/>
      <c r="C40" s="59" t="s">
        <v>45</v>
      </c>
      <c r="D40" s="22">
        <v>915.0</v>
      </c>
      <c r="E40" s="75">
        <v>381.0</v>
      </c>
      <c r="F40" s="60">
        <v>534.0</v>
      </c>
      <c r="G40" s="25">
        <v>27.0</v>
      </c>
      <c r="H40" s="62">
        <v>10.0</v>
      </c>
      <c r="I40" s="26">
        <v>17.0</v>
      </c>
      <c r="M40" s="73"/>
      <c r="N40" s="84" t="s">
        <v>42</v>
      </c>
      <c r="O40" s="80">
        <v>18.0</v>
      </c>
      <c r="P40" s="80">
        <v>16.0</v>
      </c>
      <c r="Q40" s="80">
        <v>4.0</v>
      </c>
      <c r="R40" s="80">
        <v>14.0</v>
      </c>
      <c r="S40" s="80">
        <v>41.0</v>
      </c>
      <c r="T40" s="80">
        <v>6.0</v>
      </c>
      <c r="U40" s="80">
        <v>9.0</v>
      </c>
      <c r="V40" s="80">
        <v>24.0</v>
      </c>
      <c r="W40" s="80">
        <v>7.0</v>
      </c>
      <c r="X40" s="81">
        <v>11.0</v>
      </c>
      <c r="Y40" s="80">
        <v>28.0</v>
      </c>
      <c r="Z40" s="80">
        <v>11.0</v>
      </c>
      <c r="AA40" s="82">
        <f t="shared" si="3"/>
        <v>189</v>
      </c>
    </row>
    <row r="41">
      <c r="B41" s="58"/>
      <c r="C41" s="59" t="s">
        <v>46</v>
      </c>
      <c r="D41" s="22">
        <v>96.0</v>
      </c>
      <c r="E41" s="23">
        <v>4.0</v>
      </c>
      <c r="F41" s="60">
        <v>92.0</v>
      </c>
      <c r="G41" s="25">
        <v>0.0</v>
      </c>
      <c r="H41" s="62">
        <v>0.0</v>
      </c>
      <c r="I41" s="26">
        <v>0.0</v>
      </c>
      <c r="M41" s="67" t="s">
        <v>38</v>
      </c>
      <c r="N41" s="68" t="s">
        <v>4</v>
      </c>
      <c r="O41" s="70">
        <v>2.0</v>
      </c>
      <c r="P41" s="70">
        <v>2.0</v>
      </c>
      <c r="Q41" s="70">
        <v>3.0</v>
      </c>
      <c r="R41" s="70">
        <v>10.0</v>
      </c>
      <c r="S41" s="70">
        <v>2.0</v>
      </c>
      <c r="T41" s="70">
        <v>0.0</v>
      </c>
      <c r="U41" s="70">
        <v>3.0</v>
      </c>
      <c r="V41" s="70">
        <v>3.0</v>
      </c>
      <c r="W41" s="70">
        <v>1.0</v>
      </c>
      <c r="X41" s="71">
        <v>8.0</v>
      </c>
      <c r="Y41" s="70">
        <v>6.0</v>
      </c>
      <c r="Z41" s="70">
        <v>5.0</v>
      </c>
      <c r="AA41" s="72">
        <f t="shared" si="3"/>
        <v>45</v>
      </c>
    </row>
    <row r="42">
      <c r="B42" s="58"/>
      <c r="C42" s="59" t="s">
        <v>47</v>
      </c>
      <c r="D42" s="22">
        <v>971.0</v>
      </c>
      <c r="E42" s="23">
        <v>202.0</v>
      </c>
      <c r="F42" s="60">
        <v>769.0</v>
      </c>
      <c r="G42" s="25">
        <v>545.0</v>
      </c>
      <c r="H42" s="62">
        <v>532.0</v>
      </c>
      <c r="I42" s="26">
        <v>13.0</v>
      </c>
      <c r="M42" s="73"/>
      <c r="N42" s="74" t="s">
        <v>40</v>
      </c>
      <c r="O42" s="70">
        <v>1.0</v>
      </c>
      <c r="P42" s="70">
        <v>2.0</v>
      </c>
      <c r="Q42" s="70">
        <v>3.0</v>
      </c>
      <c r="R42" s="70">
        <v>6.0</v>
      </c>
      <c r="S42" s="70">
        <v>1.0</v>
      </c>
      <c r="T42" s="70">
        <v>0.0</v>
      </c>
      <c r="U42" s="70">
        <v>3.0</v>
      </c>
      <c r="V42" s="70">
        <v>3.0</v>
      </c>
      <c r="W42" s="70">
        <v>1.0</v>
      </c>
      <c r="X42" s="71">
        <v>6.0</v>
      </c>
      <c r="Y42" s="70">
        <v>5.0</v>
      </c>
      <c r="Z42" s="70">
        <v>4.0</v>
      </c>
      <c r="AA42" s="72">
        <f t="shared" si="3"/>
        <v>35</v>
      </c>
    </row>
    <row r="43">
      <c r="B43" s="58"/>
      <c r="C43" s="59" t="s">
        <v>48</v>
      </c>
      <c r="D43" s="22">
        <v>1688.0</v>
      </c>
      <c r="E43" s="75">
        <v>575.0</v>
      </c>
      <c r="F43" s="60">
        <v>1113.0</v>
      </c>
      <c r="G43" s="25">
        <v>1144.0</v>
      </c>
      <c r="H43" s="62">
        <v>1129.0</v>
      </c>
      <c r="I43" s="26">
        <v>15.0</v>
      </c>
      <c r="M43" s="7"/>
      <c r="N43" s="69" t="s">
        <v>42</v>
      </c>
      <c r="O43" s="70">
        <v>1.0</v>
      </c>
      <c r="P43" s="70">
        <v>0.0</v>
      </c>
      <c r="Q43" s="70">
        <v>0.0</v>
      </c>
      <c r="R43" s="70">
        <v>4.0</v>
      </c>
      <c r="S43" s="70">
        <v>1.0</v>
      </c>
      <c r="T43" s="70">
        <v>0.0</v>
      </c>
      <c r="U43" s="70">
        <v>0.0</v>
      </c>
      <c r="V43" s="70">
        <v>0.0</v>
      </c>
      <c r="W43" s="70">
        <v>0.0</v>
      </c>
      <c r="X43" s="71">
        <v>2.0</v>
      </c>
      <c r="Y43" s="70">
        <v>1.0</v>
      </c>
      <c r="Z43" s="77">
        <v>1.0</v>
      </c>
      <c r="AA43" s="72">
        <f t="shared" si="3"/>
        <v>10</v>
      </c>
    </row>
    <row r="44">
      <c r="B44" s="58"/>
      <c r="C44" s="59" t="s">
        <v>49</v>
      </c>
      <c r="D44" s="22">
        <v>766.0</v>
      </c>
      <c r="E44" s="23">
        <v>86.0</v>
      </c>
      <c r="F44" s="60">
        <v>680.0</v>
      </c>
      <c r="G44" s="25">
        <v>5.0</v>
      </c>
      <c r="H44" s="85">
        <v>5.0</v>
      </c>
      <c r="I44" s="26">
        <v>0.0</v>
      </c>
      <c r="M44" s="86" t="s">
        <v>39</v>
      </c>
      <c r="N44" s="87" t="s">
        <v>4</v>
      </c>
      <c r="O44" s="88">
        <v>15.0</v>
      </c>
      <c r="P44" s="88">
        <v>81.0</v>
      </c>
      <c r="Q44" s="88">
        <v>1.0</v>
      </c>
      <c r="R44" s="88">
        <v>4.0</v>
      </c>
      <c r="S44" s="88">
        <v>19.0</v>
      </c>
      <c r="T44" s="88">
        <v>4.0</v>
      </c>
      <c r="U44" s="88">
        <v>18.0</v>
      </c>
      <c r="V44" s="88">
        <v>2.0</v>
      </c>
      <c r="W44" s="88">
        <v>5.0</v>
      </c>
      <c r="X44" s="89">
        <v>4.0</v>
      </c>
      <c r="Y44" s="88">
        <v>7.0</v>
      </c>
      <c r="Z44" s="88">
        <v>0.0</v>
      </c>
      <c r="AA44" s="82">
        <f t="shared" si="3"/>
        <v>160</v>
      </c>
    </row>
    <row r="45">
      <c r="B45" s="58"/>
      <c r="C45" s="59" t="s">
        <v>50</v>
      </c>
      <c r="D45" s="22">
        <v>57.0</v>
      </c>
      <c r="E45" s="23">
        <v>6.0</v>
      </c>
      <c r="F45" s="60">
        <v>51.0</v>
      </c>
      <c r="G45" s="25">
        <v>0.0</v>
      </c>
      <c r="H45" s="85">
        <v>0.0</v>
      </c>
      <c r="I45" s="26">
        <v>0.0</v>
      </c>
      <c r="M45" s="73"/>
      <c r="N45" s="86" t="s">
        <v>40</v>
      </c>
      <c r="O45" s="88">
        <v>8.0</v>
      </c>
      <c r="P45" s="88">
        <v>64.0</v>
      </c>
      <c r="Q45" s="88">
        <v>1.0</v>
      </c>
      <c r="R45" s="88">
        <v>2.0</v>
      </c>
      <c r="S45" s="88">
        <v>16.0</v>
      </c>
      <c r="T45" s="88">
        <v>3.0</v>
      </c>
      <c r="U45" s="88">
        <v>12.0</v>
      </c>
      <c r="V45" s="88">
        <v>2.0</v>
      </c>
      <c r="W45" s="88">
        <v>4.0</v>
      </c>
      <c r="X45" s="89">
        <v>1.0</v>
      </c>
      <c r="Y45" s="88">
        <v>6.0</v>
      </c>
      <c r="Z45" s="88">
        <v>0.0</v>
      </c>
      <c r="AA45" s="82">
        <f t="shared" si="3"/>
        <v>119</v>
      </c>
    </row>
    <row r="46">
      <c r="B46" s="90"/>
      <c r="C46" s="59" t="s">
        <v>51</v>
      </c>
      <c r="D46" s="22">
        <v>11.0</v>
      </c>
      <c r="E46" s="23">
        <v>1.0</v>
      </c>
      <c r="F46" s="60">
        <v>10.0</v>
      </c>
      <c r="G46" s="25">
        <v>0.0</v>
      </c>
      <c r="H46" s="85">
        <v>0.0</v>
      </c>
      <c r="I46" s="26">
        <v>0.0</v>
      </c>
      <c r="M46" s="73"/>
      <c r="N46" s="91" t="s">
        <v>42</v>
      </c>
      <c r="O46" s="88">
        <v>7.0</v>
      </c>
      <c r="P46" s="88">
        <v>17.0</v>
      </c>
      <c r="Q46" s="88">
        <v>0.0</v>
      </c>
      <c r="R46" s="88">
        <v>2.0</v>
      </c>
      <c r="S46" s="88">
        <v>3.0</v>
      </c>
      <c r="T46" s="88">
        <v>1.0</v>
      </c>
      <c r="U46" s="88">
        <v>6.0</v>
      </c>
      <c r="V46" s="88">
        <v>0.0</v>
      </c>
      <c r="W46" s="88">
        <v>1.0</v>
      </c>
      <c r="X46" s="89">
        <v>3.0</v>
      </c>
      <c r="Y46" s="88">
        <v>1.0</v>
      </c>
      <c r="Z46" s="88">
        <v>0.0</v>
      </c>
      <c r="AA46" s="82">
        <f t="shared" si="3"/>
        <v>41</v>
      </c>
    </row>
    <row r="47">
      <c r="B47" s="92" t="s">
        <v>52</v>
      </c>
      <c r="C47" s="93" t="s">
        <v>53</v>
      </c>
      <c r="D47" s="94">
        <v>127.0</v>
      </c>
      <c r="E47" s="95">
        <v>25.0</v>
      </c>
      <c r="F47" s="96">
        <v>102.0</v>
      </c>
      <c r="G47" s="97">
        <v>3.0</v>
      </c>
      <c r="H47" s="98">
        <v>1.0</v>
      </c>
      <c r="I47" s="99">
        <v>2.0</v>
      </c>
      <c r="M47" s="67" t="s">
        <v>54</v>
      </c>
      <c r="N47" s="68" t="s">
        <v>4</v>
      </c>
      <c r="O47" s="70">
        <v>214.0</v>
      </c>
      <c r="P47" s="70">
        <v>125.0</v>
      </c>
      <c r="Q47" s="70">
        <v>143.0</v>
      </c>
      <c r="R47" s="70">
        <v>256.0</v>
      </c>
      <c r="S47" s="70">
        <v>237.0</v>
      </c>
      <c r="T47" s="70">
        <v>129.0</v>
      </c>
      <c r="U47" s="70">
        <v>241.0</v>
      </c>
      <c r="V47" s="70">
        <v>254.0</v>
      </c>
      <c r="W47" s="70">
        <v>152.0</v>
      </c>
      <c r="X47" s="71">
        <v>178.0</v>
      </c>
      <c r="Y47" s="70">
        <v>179.0</v>
      </c>
      <c r="Z47" s="70">
        <v>95.0</v>
      </c>
      <c r="AA47" s="72">
        <f t="shared" si="3"/>
        <v>2203</v>
      </c>
    </row>
    <row r="48">
      <c r="B48" s="90"/>
      <c r="C48" s="100" t="s">
        <v>55</v>
      </c>
      <c r="D48" s="28">
        <v>206.0</v>
      </c>
      <c r="E48" s="29">
        <v>35.0</v>
      </c>
      <c r="F48" s="60">
        <v>171.0</v>
      </c>
      <c r="G48" s="30">
        <v>326.0</v>
      </c>
      <c r="H48" s="62">
        <v>267.0</v>
      </c>
      <c r="I48" s="101">
        <v>59.0</v>
      </c>
      <c r="M48" s="73"/>
      <c r="N48" s="74" t="s">
        <v>40</v>
      </c>
      <c r="O48" s="70">
        <v>144.0</v>
      </c>
      <c r="P48" s="70">
        <v>92.0</v>
      </c>
      <c r="Q48" s="70">
        <v>110.0</v>
      </c>
      <c r="R48" s="70">
        <v>170.0</v>
      </c>
      <c r="S48" s="70">
        <v>155.0</v>
      </c>
      <c r="T48" s="70">
        <v>80.0</v>
      </c>
      <c r="U48" s="70">
        <v>164.0</v>
      </c>
      <c r="V48" s="70">
        <v>160.0</v>
      </c>
      <c r="W48" s="70">
        <v>102.0</v>
      </c>
      <c r="X48" s="71">
        <v>105.0</v>
      </c>
      <c r="Y48" s="70">
        <v>134.0</v>
      </c>
      <c r="Z48" s="70">
        <v>74.0</v>
      </c>
      <c r="AA48" s="72">
        <f t="shared" si="3"/>
        <v>1490</v>
      </c>
    </row>
    <row r="49">
      <c r="B49" s="102" t="s">
        <v>56</v>
      </c>
      <c r="C49" s="103" t="s">
        <v>57</v>
      </c>
      <c r="D49" s="52">
        <v>84.0</v>
      </c>
      <c r="E49" s="53">
        <v>37.0</v>
      </c>
      <c r="F49" s="54">
        <v>47.0</v>
      </c>
      <c r="G49" s="55" t="s">
        <v>58</v>
      </c>
      <c r="H49" s="56" t="s">
        <v>58</v>
      </c>
      <c r="I49" s="57" t="s">
        <v>58</v>
      </c>
      <c r="M49" s="73"/>
      <c r="N49" s="69" t="s">
        <v>42</v>
      </c>
      <c r="O49" s="70">
        <v>70.0</v>
      </c>
      <c r="P49" s="70">
        <v>33.0</v>
      </c>
      <c r="Q49" s="70">
        <v>33.0</v>
      </c>
      <c r="R49" s="70">
        <v>86.0</v>
      </c>
      <c r="S49" s="70">
        <v>82.0</v>
      </c>
      <c r="T49" s="70">
        <v>49.0</v>
      </c>
      <c r="U49" s="70">
        <v>77.0</v>
      </c>
      <c r="V49" s="70">
        <v>94.0</v>
      </c>
      <c r="W49" s="70">
        <v>50.0</v>
      </c>
      <c r="X49" s="71">
        <v>73.0</v>
      </c>
      <c r="Y49" s="70">
        <v>45.0</v>
      </c>
      <c r="Z49" s="77">
        <v>21.0</v>
      </c>
      <c r="AA49" s="72">
        <f t="shared" si="3"/>
        <v>713</v>
      </c>
    </row>
    <row r="50">
      <c r="B50" s="58"/>
      <c r="C50" s="104" t="s">
        <v>59</v>
      </c>
      <c r="D50" s="22">
        <v>1197.0</v>
      </c>
      <c r="E50" s="23">
        <v>182.0</v>
      </c>
      <c r="F50" s="60">
        <v>1015.0</v>
      </c>
      <c r="G50" s="55" t="s">
        <v>58</v>
      </c>
      <c r="H50" s="56" t="s">
        <v>58</v>
      </c>
      <c r="I50" s="57" t="s">
        <v>58</v>
      </c>
      <c r="M50" s="78" t="s">
        <v>43</v>
      </c>
      <c r="N50" s="87" t="s">
        <v>4</v>
      </c>
      <c r="O50" s="88">
        <v>43.0</v>
      </c>
      <c r="P50" s="88">
        <v>45.0</v>
      </c>
      <c r="Q50" s="88">
        <v>59.0</v>
      </c>
      <c r="R50" s="88">
        <v>122.0</v>
      </c>
      <c r="S50" s="88">
        <v>152.0</v>
      </c>
      <c r="T50" s="88">
        <v>98.0</v>
      </c>
      <c r="U50" s="88">
        <v>138.0</v>
      </c>
      <c r="V50" s="88">
        <v>134.0</v>
      </c>
      <c r="W50" s="88">
        <v>41.0</v>
      </c>
      <c r="X50" s="89">
        <v>35.0</v>
      </c>
      <c r="Y50" s="88">
        <v>35.0</v>
      </c>
      <c r="Z50" s="88">
        <v>16.0</v>
      </c>
      <c r="AA50" s="82">
        <f t="shared" si="3"/>
        <v>918</v>
      </c>
    </row>
    <row r="51">
      <c r="B51" s="90"/>
      <c r="C51" s="105" t="s">
        <v>60</v>
      </c>
      <c r="D51" s="106">
        <v>388.0</v>
      </c>
      <c r="E51" s="107">
        <v>89.0</v>
      </c>
      <c r="F51" s="108">
        <v>299.0</v>
      </c>
      <c r="G51" s="55" t="s">
        <v>58</v>
      </c>
      <c r="H51" s="56" t="s">
        <v>58</v>
      </c>
      <c r="I51" s="57" t="s">
        <v>58</v>
      </c>
      <c r="M51" s="73"/>
      <c r="N51" s="86" t="s">
        <v>40</v>
      </c>
      <c r="O51" s="88">
        <v>30.0</v>
      </c>
      <c r="P51" s="88">
        <v>32.0</v>
      </c>
      <c r="Q51" s="88">
        <v>37.0</v>
      </c>
      <c r="R51" s="88">
        <v>67.0</v>
      </c>
      <c r="S51" s="88">
        <v>110.0</v>
      </c>
      <c r="T51" s="88">
        <v>79.0</v>
      </c>
      <c r="U51" s="88">
        <v>92.0</v>
      </c>
      <c r="V51" s="88">
        <v>102.0</v>
      </c>
      <c r="W51" s="88">
        <v>16.0</v>
      </c>
      <c r="X51" s="89">
        <v>17.0</v>
      </c>
      <c r="Y51" s="88">
        <v>16.0</v>
      </c>
      <c r="Z51" s="88">
        <v>14.0</v>
      </c>
      <c r="AA51" s="82">
        <f t="shared" si="3"/>
        <v>612</v>
      </c>
    </row>
    <row r="52">
      <c r="B52" s="42" t="s">
        <v>4</v>
      </c>
      <c r="C52" s="43"/>
      <c r="D52" s="109">
        <f t="shared" ref="D52:I52" si="4">SUM(D33:D51)</f>
        <v>11404</v>
      </c>
      <c r="E52" s="109">
        <f t="shared" si="4"/>
        <v>3059</v>
      </c>
      <c r="F52" s="110">
        <f t="shared" si="4"/>
        <v>8345</v>
      </c>
      <c r="G52" s="109">
        <f t="shared" si="4"/>
        <v>7287</v>
      </c>
      <c r="H52" s="110">
        <f t="shared" si="4"/>
        <v>6798</v>
      </c>
      <c r="I52" s="109">
        <f t="shared" si="4"/>
        <v>489</v>
      </c>
      <c r="M52" s="73"/>
      <c r="N52" s="91" t="s">
        <v>42</v>
      </c>
      <c r="O52" s="88">
        <v>13.0</v>
      </c>
      <c r="P52" s="88">
        <v>13.0</v>
      </c>
      <c r="Q52" s="88">
        <v>22.0</v>
      </c>
      <c r="R52" s="88">
        <v>55.0</v>
      </c>
      <c r="S52" s="88">
        <v>42.0</v>
      </c>
      <c r="T52" s="88">
        <v>19.0</v>
      </c>
      <c r="U52" s="88">
        <v>46.0</v>
      </c>
      <c r="V52" s="88">
        <v>32.0</v>
      </c>
      <c r="W52" s="88">
        <v>25.0</v>
      </c>
      <c r="X52" s="89">
        <v>18.0</v>
      </c>
      <c r="Y52" s="88">
        <v>19.0</v>
      </c>
      <c r="Z52" s="88">
        <v>2.0</v>
      </c>
      <c r="AA52" s="82">
        <f t="shared" si="3"/>
        <v>306</v>
      </c>
    </row>
    <row r="53">
      <c r="M53" s="67" t="s">
        <v>44</v>
      </c>
      <c r="N53" s="68" t="s">
        <v>4</v>
      </c>
      <c r="O53" s="70">
        <v>3.0</v>
      </c>
      <c r="P53" s="70">
        <v>0.0</v>
      </c>
      <c r="Q53" s="70">
        <v>3.0</v>
      </c>
      <c r="R53" s="70">
        <v>4.0</v>
      </c>
      <c r="S53" s="70">
        <v>2.0</v>
      </c>
      <c r="T53" s="70">
        <v>0.0</v>
      </c>
      <c r="U53" s="70">
        <v>1.0</v>
      </c>
      <c r="V53" s="70">
        <v>2.0</v>
      </c>
      <c r="W53" s="70">
        <v>1.0</v>
      </c>
      <c r="X53" s="71">
        <v>4.0</v>
      </c>
      <c r="Y53" s="70">
        <v>6.0</v>
      </c>
      <c r="Z53" s="70">
        <v>3.0</v>
      </c>
      <c r="AA53" s="72">
        <f t="shared" si="3"/>
        <v>29</v>
      </c>
    </row>
    <row r="54">
      <c r="M54" s="73"/>
      <c r="N54" s="74" t="s">
        <v>40</v>
      </c>
      <c r="O54" s="70">
        <v>1.0</v>
      </c>
      <c r="P54" s="70">
        <v>0.0</v>
      </c>
      <c r="Q54" s="70">
        <v>2.0</v>
      </c>
      <c r="R54" s="70">
        <v>1.0</v>
      </c>
      <c r="S54" s="70">
        <v>2.0</v>
      </c>
      <c r="T54" s="70">
        <v>0.0</v>
      </c>
      <c r="U54" s="70">
        <v>1.0</v>
      </c>
      <c r="V54" s="70">
        <v>0.0</v>
      </c>
      <c r="W54" s="70">
        <v>0.0</v>
      </c>
      <c r="X54" s="71">
        <v>3.0</v>
      </c>
      <c r="Y54" s="70">
        <v>3.0</v>
      </c>
      <c r="Z54" s="70">
        <v>1.0</v>
      </c>
      <c r="AA54" s="72">
        <f t="shared" si="3"/>
        <v>14</v>
      </c>
    </row>
    <row r="55">
      <c r="M55" s="73"/>
      <c r="N55" s="69" t="s">
        <v>42</v>
      </c>
      <c r="O55" s="70">
        <v>2.0</v>
      </c>
      <c r="P55" s="70">
        <v>0.0</v>
      </c>
      <c r="Q55" s="70">
        <v>1.0</v>
      </c>
      <c r="R55" s="70">
        <v>3.0</v>
      </c>
      <c r="S55" s="70">
        <v>0.0</v>
      </c>
      <c r="T55" s="70">
        <v>0.0</v>
      </c>
      <c r="U55" s="70">
        <v>0.0</v>
      </c>
      <c r="V55" s="70">
        <v>2.0</v>
      </c>
      <c r="W55" s="70">
        <v>1.0</v>
      </c>
      <c r="X55" s="71">
        <v>1.0</v>
      </c>
      <c r="Y55" s="70">
        <v>3.0</v>
      </c>
      <c r="Z55" s="77">
        <v>2.0</v>
      </c>
      <c r="AA55" s="72">
        <f t="shared" si="3"/>
        <v>15</v>
      </c>
    </row>
    <row r="56">
      <c r="M56" s="111" t="s">
        <v>61</v>
      </c>
      <c r="N56" s="79" t="s">
        <v>4</v>
      </c>
      <c r="O56" s="80">
        <v>0.0</v>
      </c>
      <c r="P56" s="80">
        <v>0.0</v>
      </c>
      <c r="Q56" s="80">
        <v>0.0</v>
      </c>
      <c r="R56" s="80">
        <v>0.0</v>
      </c>
      <c r="S56" s="80">
        <v>0.0</v>
      </c>
      <c r="T56" s="80">
        <v>0.0</v>
      </c>
      <c r="U56" s="80">
        <v>0.0</v>
      </c>
      <c r="V56" s="80">
        <v>0.0</v>
      </c>
      <c r="W56" s="80">
        <v>0.0</v>
      </c>
      <c r="X56" s="81">
        <v>0.0</v>
      </c>
      <c r="Y56" s="80">
        <v>0.0</v>
      </c>
      <c r="Z56" s="80">
        <v>0.0</v>
      </c>
      <c r="AA56" s="82">
        <f t="shared" si="3"/>
        <v>0</v>
      </c>
    </row>
    <row r="57">
      <c r="M57" s="73"/>
      <c r="N57" s="83" t="s">
        <v>40</v>
      </c>
      <c r="O57" s="80">
        <v>0.0</v>
      </c>
      <c r="P57" s="80">
        <v>0.0</v>
      </c>
      <c r="Q57" s="80">
        <v>0.0</v>
      </c>
      <c r="R57" s="80">
        <v>0.0</v>
      </c>
      <c r="S57" s="80">
        <v>0.0</v>
      </c>
      <c r="T57" s="80">
        <v>0.0</v>
      </c>
      <c r="U57" s="80">
        <v>0.0</v>
      </c>
      <c r="V57" s="80">
        <v>0.0</v>
      </c>
      <c r="W57" s="80">
        <v>0.0</v>
      </c>
      <c r="X57" s="81">
        <v>0.0</v>
      </c>
      <c r="Y57" s="80">
        <v>0.0</v>
      </c>
      <c r="Z57" s="80">
        <v>0.0</v>
      </c>
      <c r="AA57" s="82">
        <f t="shared" si="3"/>
        <v>0</v>
      </c>
    </row>
    <row r="58">
      <c r="M58" s="73"/>
      <c r="N58" s="84" t="s">
        <v>42</v>
      </c>
      <c r="O58" s="80">
        <v>0.0</v>
      </c>
      <c r="P58" s="80">
        <v>0.0</v>
      </c>
      <c r="Q58" s="80">
        <v>0.0</v>
      </c>
      <c r="R58" s="80">
        <v>0.0</v>
      </c>
      <c r="S58" s="80">
        <v>0.0</v>
      </c>
      <c r="T58" s="80">
        <v>0.0</v>
      </c>
      <c r="U58" s="80">
        <v>0.0</v>
      </c>
      <c r="V58" s="80">
        <v>0.0</v>
      </c>
      <c r="W58" s="80">
        <v>0.0</v>
      </c>
      <c r="X58" s="81">
        <v>0.0</v>
      </c>
      <c r="Y58" s="80">
        <v>0.0</v>
      </c>
      <c r="Z58" s="80">
        <v>0.0</v>
      </c>
      <c r="AA58" s="82">
        <f t="shared" si="3"/>
        <v>0</v>
      </c>
    </row>
    <row r="59">
      <c r="M59" s="67" t="s">
        <v>45</v>
      </c>
      <c r="N59" s="68" t="s">
        <v>4</v>
      </c>
      <c r="O59" s="70">
        <v>67.0</v>
      </c>
      <c r="P59" s="70">
        <v>61.0</v>
      </c>
      <c r="Q59" s="70">
        <v>36.0</v>
      </c>
      <c r="R59" s="70">
        <v>100.0</v>
      </c>
      <c r="S59" s="70">
        <v>99.0</v>
      </c>
      <c r="T59" s="70">
        <v>46.0</v>
      </c>
      <c r="U59" s="70">
        <v>119.0</v>
      </c>
      <c r="V59" s="70">
        <v>63.0</v>
      </c>
      <c r="W59" s="70">
        <v>61.0</v>
      </c>
      <c r="X59" s="71">
        <v>76.0</v>
      </c>
      <c r="Y59" s="70">
        <v>100.0</v>
      </c>
      <c r="Z59" s="70">
        <v>87.0</v>
      </c>
      <c r="AA59" s="72">
        <f t="shared" si="3"/>
        <v>915</v>
      </c>
    </row>
    <row r="60">
      <c r="M60" s="73"/>
      <c r="N60" s="74" t="s">
        <v>40</v>
      </c>
      <c r="O60" s="70">
        <v>37.0</v>
      </c>
      <c r="P60" s="70">
        <v>32.0</v>
      </c>
      <c r="Q60" s="70">
        <v>27.0</v>
      </c>
      <c r="R60" s="70">
        <v>54.0</v>
      </c>
      <c r="S60" s="70">
        <v>64.0</v>
      </c>
      <c r="T60" s="70">
        <v>22.0</v>
      </c>
      <c r="U60" s="70">
        <v>69.0</v>
      </c>
      <c r="V60" s="70">
        <v>39.0</v>
      </c>
      <c r="W60" s="70">
        <v>36.0</v>
      </c>
      <c r="X60" s="71">
        <v>39.0</v>
      </c>
      <c r="Y60" s="70">
        <v>60.0</v>
      </c>
      <c r="Z60" s="70">
        <v>55.0</v>
      </c>
      <c r="AA60" s="72">
        <f t="shared" si="3"/>
        <v>534</v>
      </c>
    </row>
    <row r="61">
      <c r="M61" s="73"/>
      <c r="N61" s="69" t="s">
        <v>42</v>
      </c>
      <c r="O61" s="70">
        <v>30.0</v>
      </c>
      <c r="P61" s="70">
        <v>29.0</v>
      </c>
      <c r="Q61" s="70">
        <v>9.0</v>
      </c>
      <c r="R61" s="70">
        <v>46.0</v>
      </c>
      <c r="S61" s="70">
        <v>35.0</v>
      </c>
      <c r="T61" s="70">
        <v>24.0</v>
      </c>
      <c r="U61" s="70">
        <v>50.0</v>
      </c>
      <c r="V61" s="70">
        <v>24.0</v>
      </c>
      <c r="W61" s="70">
        <v>25.0</v>
      </c>
      <c r="X61" s="71">
        <v>37.0</v>
      </c>
      <c r="Y61" s="70">
        <v>40.0</v>
      </c>
      <c r="Z61" s="77">
        <v>32.0</v>
      </c>
      <c r="AA61" s="72">
        <f t="shared" si="3"/>
        <v>381</v>
      </c>
    </row>
    <row r="62">
      <c r="M62" s="78" t="s">
        <v>46</v>
      </c>
      <c r="N62" s="79" t="s">
        <v>4</v>
      </c>
      <c r="O62" s="80">
        <v>3.0</v>
      </c>
      <c r="P62" s="80">
        <v>2.0</v>
      </c>
      <c r="Q62" s="80">
        <v>5.0</v>
      </c>
      <c r="R62" s="80">
        <v>8.0</v>
      </c>
      <c r="S62" s="80">
        <v>4.0</v>
      </c>
      <c r="T62" s="80">
        <v>1.0</v>
      </c>
      <c r="U62" s="80">
        <v>9.0</v>
      </c>
      <c r="V62" s="80">
        <v>6.0</v>
      </c>
      <c r="W62" s="80">
        <v>2.0</v>
      </c>
      <c r="X62" s="81">
        <v>19.0</v>
      </c>
      <c r="Y62" s="80">
        <v>20.0</v>
      </c>
      <c r="Z62" s="80">
        <v>17.0</v>
      </c>
      <c r="AA62" s="82">
        <f t="shared" si="3"/>
        <v>96</v>
      </c>
    </row>
    <row r="63">
      <c r="M63" s="73"/>
      <c r="N63" s="83" t="s">
        <v>40</v>
      </c>
      <c r="O63" s="80">
        <v>3.0</v>
      </c>
      <c r="P63" s="80">
        <v>2.0</v>
      </c>
      <c r="Q63" s="80">
        <v>4.0</v>
      </c>
      <c r="R63" s="80">
        <v>8.0</v>
      </c>
      <c r="S63" s="80">
        <v>4.0</v>
      </c>
      <c r="T63" s="80">
        <v>1.0</v>
      </c>
      <c r="U63" s="80">
        <v>9.0</v>
      </c>
      <c r="V63" s="80">
        <v>5.0</v>
      </c>
      <c r="W63" s="80">
        <v>2.0</v>
      </c>
      <c r="X63" s="81">
        <v>19.0</v>
      </c>
      <c r="Y63" s="80">
        <v>20.0</v>
      </c>
      <c r="Z63" s="80">
        <v>15.0</v>
      </c>
      <c r="AA63" s="82">
        <f t="shared" si="3"/>
        <v>92</v>
      </c>
    </row>
    <row r="64">
      <c r="M64" s="73"/>
      <c r="N64" s="84" t="s">
        <v>42</v>
      </c>
      <c r="O64" s="80">
        <v>0.0</v>
      </c>
      <c r="P64" s="80">
        <v>0.0</v>
      </c>
      <c r="Q64" s="80">
        <v>1.0</v>
      </c>
      <c r="R64" s="80">
        <v>0.0</v>
      </c>
      <c r="S64" s="80">
        <v>0.0</v>
      </c>
      <c r="T64" s="80">
        <v>0.0</v>
      </c>
      <c r="U64" s="80">
        <v>0.0</v>
      </c>
      <c r="V64" s="80">
        <v>1.0</v>
      </c>
      <c r="W64" s="80">
        <v>0.0</v>
      </c>
      <c r="X64" s="81">
        <v>0.0</v>
      </c>
      <c r="Y64" s="80">
        <v>0.0</v>
      </c>
      <c r="Z64" s="80">
        <v>2.0</v>
      </c>
      <c r="AA64" s="82">
        <f t="shared" si="3"/>
        <v>4</v>
      </c>
    </row>
    <row r="65">
      <c r="M65" s="67" t="s">
        <v>47</v>
      </c>
      <c r="N65" s="68" t="s">
        <v>4</v>
      </c>
      <c r="O65" s="70">
        <v>91.0</v>
      </c>
      <c r="P65" s="70">
        <v>74.0</v>
      </c>
      <c r="Q65" s="70">
        <v>85.0</v>
      </c>
      <c r="R65" s="70">
        <v>82.0</v>
      </c>
      <c r="S65" s="70">
        <v>116.0</v>
      </c>
      <c r="T65" s="70">
        <v>44.0</v>
      </c>
      <c r="U65" s="70">
        <v>91.0</v>
      </c>
      <c r="V65" s="70">
        <v>101.0</v>
      </c>
      <c r="W65" s="70">
        <v>75.0</v>
      </c>
      <c r="X65" s="71">
        <v>62.0</v>
      </c>
      <c r="Y65" s="70">
        <v>85.0</v>
      </c>
      <c r="Z65" s="70">
        <v>65.0</v>
      </c>
      <c r="AA65" s="72">
        <f t="shared" si="3"/>
        <v>971</v>
      </c>
    </row>
    <row r="66">
      <c r="M66" s="73"/>
      <c r="N66" s="74" t="s">
        <v>40</v>
      </c>
      <c r="O66" s="70">
        <v>71.0</v>
      </c>
      <c r="P66" s="70">
        <v>58.0</v>
      </c>
      <c r="Q66" s="70">
        <v>71.0</v>
      </c>
      <c r="R66" s="70">
        <v>63.0</v>
      </c>
      <c r="S66" s="70">
        <v>100.0</v>
      </c>
      <c r="T66" s="70">
        <v>27.0</v>
      </c>
      <c r="U66" s="70">
        <v>68.0</v>
      </c>
      <c r="V66" s="70">
        <v>73.0</v>
      </c>
      <c r="W66" s="70">
        <v>57.0</v>
      </c>
      <c r="X66" s="71">
        <v>49.0</v>
      </c>
      <c r="Y66" s="70">
        <v>75.0</v>
      </c>
      <c r="Z66" s="70">
        <v>57.0</v>
      </c>
      <c r="AA66" s="72">
        <f t="shared" si="3"/>
        <v>769</v>
      </c>
    </row>
    <row r="67">
      <c r="M67" s="73"/>
      <c r="N67" s="69" t="s">
        <v>42</v>
      </c>
      <c r="O67" s="70">
        <v>20.0</v>
      </c>
      <c r="P67" s="70">
        <v>16.0</v>
      </c>
      <c r="Q67" s="70">
        <v>14.0</v>
      </c>
      <c r="R67" s="70">
        <v>19.0</v>
      </c>
      <c r="S67" s="70">
        <v>16.0</v>
      </c>
      <c r="T67" s="70">
        <v>17.0</v>
      </c>
      <c r="U67" s="70">
        <v>23.0</v>
      </c>
      <c r="V67" s="70">
        <v>28.0</v>
      </c>
      <c r="W67" s="70">
        <v>18.0</v>
      </c>
      <c r="X67" s="71">
        <v>13.0</v>
      </c>
      <c r="Y67" s="70">
        <v>10.0</v>
      </c>
      <c r="Z67" s="77">
        <v>8.0</v>
      </c>
      <c r="AA67" s="72">
        <f t="shared" si="3"/>
        <v>202</v>
      </c>
    </row>
    <row r="68">
      <c r="M68" s="78" t="s">
        <v>48</v>
      </c>
      <c r="N68" s="79" t="s">
        <v>4</v>
      </c>
      <c r="O68" s="80">
        <v>115.0</v>
      </c>
      <c r="P68" s="80">
        <v>38.0</v>
      </c>
      <c r="Q68" s="80">
        <v>106.0</v>
      </c>
      <c r="R68" s="80">
        <v>220.0</v>
      </c>
      <c r="S68" s="80">
        <v>231.0</v>
      </c>
      <c r="T68" s="80">
        <v>83.0</v>
      </c>
      <c r="U68" s="80">
        <v>157.0</v>
      </c>
      <c r="V68" s="80">
        <v>220.0</v>
      </c>
      <c r="W68" s="80">
        <v>168.0</v>
      </c>
      <c r="X68" s="81">
        <v>110.0</v>
      </c>
      <c r="Y68" s="80">
        <v>96.0</v>
      </c>
      <c r="Z68" s="80">
        <v>144.0</v>
      </c>
      <c r="AA68" s="82">
        <f t="shared" si="3"/>
        <v>1688</v>
      </c>
    </row>
    <row r="69">
      <c r="M69" s="73"/>
      <c r="N69" s="83" t="s">
        <v>40</v>
      </c>
      <c r="O69" s="80">
        <v>62.0</v>
      </c>
      <c r="P69" s="80">
        <v>17.0</v>
      </c>
      <c r="Q69" s="80">
        <v>76.0</v>
      </c>
      <c r="R69" s="80">
        <v>141.0</v>
      </c>
      <c r="S69" s="80">
        <v>149.0</v>
      </c>
      <c r="T69" s="80">
        <v>56.0</v>
      </c>
      <c r="U69" s="80">
        <v>109.0</v>
      </c>
      <c r="V69" s="80">
        <v>151.0</v>
      </c>
      <c r="W69" s="80">
        <v>121.0</v>
      </c>
      <c r="X69" s="81">
        <v>82.0</v>
      </c>
      <c r="Y69" s="80">
        <v>58.0</v>
      </c>
      <c r="Z69" s="80">
        <v>91.0</v>
      </c>
      <c r="AA69" s="82">
        <f t="shared" si="3"/>
        <v>1113</v>
      </c>
    </row>
    <row r="70">
      <c r="M70" s="73"/>
      <c r="N70" s="84" t="s">
        <v>42</v>
      </c>
      <c r="O70" s="80">
        <v>53.0</v>
      </c>
      <c r="P70" s="80">
        <v>21.0</v>
      </c>
      <c r="Q70" s="80">
        <v>30.0</v>
      </c>
      <c r="R70" s="80">
        <v>79.0</v>
      </c>
      <c r="S70" s="80">
        <v>82.0</v>
      </c>
      <c r="T70" s="80">
        <v>27.0</v>
      </c>
      <c r="U70" s="80">
        <v>48.0</v>
      </c>
      <c r="V70" s="80">
        <v>69.0</v>
      </c>
      <c r="W70" s="80">
        <v>47.0</v>
      </c>
      <c r="X70" s="81">
        <v>28.0</v>
      </c>
      <c r="Y70" s="80">
        <v>38.0</v>
      </c>
      <c r="Z70" s="80">
        <v>53.0</v>
      </c>
      <c r="AA70" s="82">
        <f t="shared" si="3"/>
        <v>575</v>
      </c>
    </row>
    <row r="71">
      <c r="M71" s="67" t="s">
        <v>49</v>
      </c>
      <c r="N71" s="68" t="s">
        <v>4</v>
      </c>
      <c r="O71" s="70">
        <v>41.0</v>
      </c>
      <c r="P71" s="70">
        <v>30.0</v>
      </c>
      <c r="Q71" s="70">
        <v>64.0</v>
      </c>
      <c r="R71" s="70">
        <v>94.0</v>
      </c>
      <c r="S71" s="70">
        <v>90.0</v>
      </c>
      <c r="T71" s="70">
        <v>84.0</v>
      </c>
      <c r="U71" s="70">
        <v>36.0</v>
      </c>
      <c r="V71" s="70">
        <v>74.0</v>
      </c>
      <c r="W71" s="70">
        <v>79.0</v>
      </c>
      <c r="X71" s="71">
        <v>61.0</v>
      </c>
      <c r="Y71" s="70">
        <v>52.0</v>
      </c>
      <c r="Z71" s="70">
        <v>61.0</v>
      </c>
      <c r="AA71" s="72">
        <f t="shared" si="3"/>
        <v>766</v>
      </c>
    </row>
    <row r="72">
      <c r="M72" s="73"/>
      <c r="N72" s="74" t="s">
        <v>40</v>
      </c>
      <c r="O72" s="70">
        <v>38.0</v>
      </c>
      <c r="P72" s="70">
        <v>28.0</v>
      </c>
      <c r="Q72" s="70">
        <v>60.0</v>
      </c>
      <c r="R72" s="70">
        <v>68.0</v>
      </c>
      <c r="S72" s="70">
        <v>79.0</v>
      </c>
      <c r="T72" s="70">
        <v>73.0</v>
      </c>
      <c r="U72" s="70">
        <v>34.0</v>
      </c>
      <c r="V72" s="70">
        <v>69.0</v>
      </c>
      <c r="W72" s="70">
        <v>77.0</v>
      </c>
      <c r="X72" s="71">
        <v>54.0</v>
      </c>
      <c r="Y72" s="70">
        <v>45.0</v>
      </c>
      <c r="Z72" s="70">
        <v>55.0</v>
      </c>
      <c r="AA72" s="72">
        <f t="shared" si="3"/>
        <v>680</v>
      </c>
    </row>
    <row r="73">
      <c r="M73" s="73"/>
      <c r="N73" s="69" t="s">
        <v>42</v>
      </c>
      <c r="O73" s="70">
        <v>3.0</v>
      </c>
      <c r="P73" s="70">
        <v>2.0</v>
      </c>
      <c r="Q73" s="70">
        <v>4.0</v>
      </c>
      <c r="R73" s="70">
        <v>26.0</v>
      </c>
      <c r="S73" s="70">
        <v>11.0</v>
      </c>
      <c r="T73" s="70">
        <v>11.0</v>
      </c>
      <c r="U73" s="70">
        <v>2.0</v>
      </c>
      <c r="V73" s="70">
        <v>5.0</v>
      </c>
      <c r="W73" s="70">
        <v>2.0</v>
      </c>
      <c r="X73" s="71">
        <v>7.0</v>
      </c>
      <c r="Y73" s="70">
        <v>7.0</v>
      </c>
      <c r="Z73" s="77">
        <v>6.0</v>
      </c>
      <c r="AA73" s="72">
        <f t="shared" si="3"/>
        <v>86</v>
      </c>
    </row>
    <row r="74">
      <c r="M74" s="78" t="s">
        <v>53</v>
      </c>
      <c r="N74" s="79" t="s">
        <v>4</v>
      </c>
      <c r="O74" s="80">
        <v>17.0</v>
      </c>
      <c r="P74" s="80">
        <v>16.0</v>
      </c>
      <c r="Q74" s="80">
        <v>9.0</v>
      </c>
      <c r="R74" s="80">
        <v>12.0</v>
      </c>
      <c r="S74" s="80">
        <v>9.0</v>
      </c>
      <c r="T74" s="80">
        <v>5.0</v>
      </c>
      <c r="U74" s="80">
        <v>5.0</v>
      </c>
      <c r="V74" s="80">
        <v>0.0</v>
      </c>
      <c r="W74" s="80">
        <v>15.0</v>
      </c>
      <c r="X74" s="81">
        <v>12.0</v>
      </c>
      <c r="Y74" s="80">
        <v>11.0</v>
      </c>
      <c r="Z74" s="80">
        <v>16.0</v>
      </c>
      <c r="AA74" s="82">
        <f t="shared" si="3"/>
        <v>127</v>
      </c>
    </row>
    <row r="75">
      <c r="M75" s="73"/>
      <c r="N75" s="83" t="s">
        <v>40</v>
      </c>
      <c r="O75" s="80">
        <v>13.0</v>
      </c>
      <c r="P75" s="80">
        <v>15.0</v>
      </c>
      <c r="Q75" s="80">
        <v>7.0</v>
      </c>
      <c r="R75" s="80">
        <v>7.0</v>
      </c>
      <c r="S75" s="80">
        <v>9.0</v>
      </c>
      <c r="T75" s="80">
        <v>4.0</v>
      </c>
      <c r="U75" s="80">
        <v>5.0</v>
      </c>
      <c r="V75" s="80">
        <v>0.0</v>
      </c>
      <c r="W75" s="80">
        <v>12.0</v>
      </c>
      <c r="X75" s="81">
        <v>9.0</v>
      </c>
      <c r="Y75" s="80">
        <v>8.0</v>
      </c>
      <c r="Z75" s="80">
        <v>13.0</v>
      </c>
      <c r="AA75" s="82">
        <f t="shared" si="3"/>
        <v>102</v>
      </c>
    </row>
    <row r="76">
      <c r="M76" s="73"/>
      <c r="N76" s="84" t="s">
        <v>42</v>
      </c>
      <c r="O76" s="80">
        <v>4.0</v>
      </c>
      <c r="P76" s="80">
        <v>1.0</v>
      </c>
      <c r="Q76" s="80">
        <v>2.0</v>
      </c>
      <c r="R76" s="80">
        <v>5.0</v>
      </c>
      <c r="S76" s="80">
        <v>0.0</v>
      </c>
      <c r="T76" s="80">
        <v>1.0</v>
      </c>
      <c r="U76" s="80">
        <v>0.0</v>
      </c>
      <c r="V76" s="80">
        <v>0.0</v>
      </c>
      <c r="W76" s="80">
        <v>3.0</v>
      </c>
      <c r="X76" s="81">
        <v>3.0</v>
      </c>
      <c r="Y76" s="80">
        <v>3.0</v>
      </c>
      <c r="Z76" s="80">
        <v>3.0</v>
      </c>
      <c r="AA76" s="82">
        <f t="shared" si="3"/>
        <v>25</v>
      </c>
    </row>
    <row r="77">
      <c r="M77" s="67" t="s">
        <v>55</v>
      </c>
      <c r="N77" s="68" t="s">
        <v>4</v>
      </c>
      <c r="O77" s="70">
        <v>16.0</v>
      </c>
      <c r="P77" s="70">
        <v>10.0</v>
      </c>
      <c r="Q77" s="70">
        <v>7.0</v>
      </c>
      <c r="R77" s="70">
        <v>24.0</v>
      </c>
      <c r="S77" s="70">
        <v>17.0</v>
      </c>
      <c r="T77" s="70">
        <v>12.0</v>
      </c>
      <c r="U77" s="70">
        <v>40.0</v>
      </c>
      <c r="V77" s="70">
        <v>14.0</v>
      </c>
      <c r="W77" s="70">
        <v>8.0</v>
      </c>
      <c r="X77" s="71">
        <v>48.0</v>
      </c>
      <c r="Y77" s="70">
        <v>2.0</v>
      </c>
      <c r="Z77" s="70">
        <v>8.0</v>
      </c>
      <c r="AA77" s="72">
        <f t="shared" si="3"/>
        <v>206</v>
      </c>
    </row>
    <row r="78">
      <c r="M78" s="73"/>
      <c r="N78" s="74" t="s">
        <v>40</v>
      </c>
      <c r="O78" s="70">
        <v>15.0</v>
      </c>
      <c r="P78" s="70">
        <v>7.0</v>
      </c>
      <c r="Q78" s="70">
        <v>5.0</v>
      </c>
      <c r="R78" s="70">
        <v>21.0</v>
      </c>
      <c r="S78" s="70">
        <v>14.0</v>
      </c>
      <c r="T78" s="70">
        <v>11.0</v>
      </c>
      <c r="U78" s="70">
        <v>28.0</v>
      </c>
      <c r="V78" s="70">
        <v>13.0</v>
      </c>
      <c r="W78" s="70">
        <v>8.0</v>
      </c>
      <c r="X78" s="71">
        <v>43.0</v>
      </c>
      <c r="Y78" s="70">
        <v>2.0</v>
      </c>
      <c r="Z78" s="70">
        <v>4.0</v>
      </c>
      <c r="AA78" s="72">
        <f t="shared" si="3"/>
        <v>171</v>
      </c>
    </row>
    <row r="79">
      <c r="M79" s="73"/>
      <c r="N79" s="69" t="s">
        <v>42</v>
      </c>
      <c r="O79" s="70">
        <v>1.0</v>
      </c>
      <c r="P79" s="70">
        <v>3.0</v>
      </c>
      <c r="Q79" s="70">
        <v>2.0</v>
      </c>
      <c r="R79" s="70">
        <v>3.0</v>
      </c>
      <c r="S79" s="70">
        <v>3.0</v>
      </c>
      <c r="T79" s="70">
        <v>1.0</v>
      </c>
      <c r="U79" s="70">
        <v>12.0</v>
      </c>
      <c r="V79" s="70">
        <v>1.0</v>
      </c>
      <c r="W79" s="70">
        <v>0.0</v>
      </c>
      <c r="X79" s="71">
        <v>5.0</v>
      </c>
      <c r="Y79" s="70">
        <v>0.0</v>
      </c>
      <c r="Z79" s="77">
        <v>4.0</v>
      </c>
      <c r="AA79" s="72">
        <f t="shared" si="3"/>
        <v>35</v>
      </c>
    </row>
    <row r="80">
      <c r="M80" s="78" t="s">
        <v>62</v>
      </c>
      <c r="N80" s="79" t="s">
        <v>4</v>
      </c>
      <c r="O80" s="80">
        <v>5.0</v>
      </c>
      <c r="P80" s="80">
        <v>3.0</v>
      </c>
      <c r="Q80" s="80">
        <v>1.0</v>
      </c>
      <c r="R80" s="80">
        <v>46.0</v>
      </c>
      <c r="S80" s="80">
        <v>18.0</v>
      </c>
      <c r="T80" s="80">
        <v>1.0</v>
      </c>
      <c r="U80" s="80">
        <v>2.0</v>
      </c>
      <c r="V80" s="80">
        <v>3.0</v>
      </c>
      <c r="W80" s="80">
        <v>3.0</v>
      </c>
      <c r="X80" s="81">
        <v>0.0</v>
      </c>
      <c r="Y80" s="80">
        <v>2.0</v>
      </c>
      <c r="Z80" s="80">
        <v>0.0</v>
      </c>
      <c r="AA80" s="82">
        <f t="shared" si="3"/>
        <v>84</v>
      </c>
    </row>
    <row r="81">
      <c r="M81" s="73"/>
      <c r="N81" s="83" t="s">
        <v>40</v>
      </c>
      <c r="O81" s="80">
        <v>3.0</v>
      </c>
      <c r="P81" s="80">
        <v>0.0</v>
      </c>
      <c r="Q81" s="80">
        <v>0.0</v>
      </c>
      <c r="R81" s="80">
        <v>25.0</v>
      </c>
      <c r="S81" s="80">
        <v>10.0</v>
      </c>
      <c r="T81" s="80">
        <v>0.0</v>
      </c>
      <c r="U81" s="80">
        <v>2.0</v>
      </c>
      <c r="V81" s="80">
        <v>3.0</v>
      </c>
      <c r="W81" s="80">
        <v>3.0</v>
      </c>
      <c r="X81" s="81">
        <v>0.0</v>
      </c>
      <c r="Y81" s="80">
        <v>1.0</v>
      </c>
      <c r="Z81" s="80">
        <v>0.0</v>
      </c>
      <c r="AA81" s="82">
        <f t="shared" si="3"/>
        <v>47</v>
      </c>
    </row>
    <row r="82">
      <c r="M82" s="73"/>
      <c r="N82" s="84" t="s">
        <v>42</v>
      </c>
      <c r="O82" s="80">
        <v>2.0</v>
      </c>
      <c r="P82" s="80">
        <v>3.0</v>
      </c>
      <c r="Q82" s="80">
        <v>1.0</v>
      </c>
      <c r="R82" s="80">
        <v>21.0</v>
      </c>
      <c r="S82" s="80">
        <v>8.0</v>
      </c>
      <c r="T82" s="80">
        <v>1.0</v>
      </c>
      <c r="U82" s="80">
        <v>0.0</v>
      </c>
      <c r="V82" s="80">
        <v>0.0</v>
      </c>
      <c r="W82" s="80">
        <v>0.0</v>
      </c>
      <c r="X82" s="81">
        <v>0.0</v>
      </c>
      <c r="Y82" s="80">
        <v>1.0</v>
      </c>
      <c r="Z82" s="80">
        <v>0.0</v>
      </c>
      <c r="AA82" s="82">
        <f t="shared" si="3"/>
        <v>37</v>
      </c>
    </row>
    <row r="83">
      <c r="M83" s="67" t="s">
        <v>63</v>
      </c>
      <c r="N83" s="68" t="s">
        <v>4</v>
      </c>
      <c r="O83" s="70">
        <v>88.0</v>
      </c>
      <c r="P83" s="70">
        <v>139.0</v>
      </c>
      <c r="Q83" s="70">
        <v>126.0</v>
      </c>
      <c r="R83" s="70">
        <v>235.0</v>
      </c>
      <c r="S83" s="70">
        <v>119.0</v>
      </c>
      <c r="T83" s="70">
        <v>93.0</v>
      </c>
      <c r="U83" s="70">
        <v>76.0</v>
      </c>
      <c r="V83" s="70">
        <v>53.0</v>
      </c>
      <c r="W83" s="70">
        <v>52.0</v>
      </c>
      <c r="X83" s="71">
        <v>69.0</v>
      </c>
      <c r="Y83" s="70">
        <v>97.0</v>
      </c>
      <c r="Z83" s="70">
        <v>50.0</v>
      </c>
      <c r="AA83" s="72">
        <f t="shared" si="3"/>
        <v>1197</v>
      </c>
    </row>
    <row r="84">
      <c r="M84" s="73"/>
      <c r="N84" s="74" t="s">
        <v>40</v>
      </c>
      <c r="O84" s="70">
        <v>75.0</v>
      </c>
      <c r="P84" s="70">
        <v>96.0</v>
      </c>
      <c r="Q84" s="70">
        <v>120.0</v>
      </c>
      <c r="R84" s="70">
        <v>201.0</v>
      </c>
      <c r="S84" s="70">
        <v>95.0</v>
      </c>
      <c r="T84" s="70">
        <v>79.0</v>
      </c>
      <c r="U84" s="70">
        <v>64.0</v>
      </c>
      <c r="V84" s="70">
        <v>37.0</v>
      </c>
      <c r="W84" s="70">
        <v>48.0</v>
      </c>
      <c r="X84" s="71">
        <v>64.0</v>
      </c>
      <c r="Y84" s="70">
        <v>91.0</v>
      </c>
      <c r="Z84" s="70">
        <v>45.0</v>
      </c>
      <c r="AA84" s="72">
        <f t="shared" si="3"/>
        <v>1015</v>
      </c>
    </row>
    <row r="85">
      <c r="M85" s="73"/>
      <c r="N85" s="69" t="s">
        <v>42</v>
      </c>
      <c r="O85" s="70">
        <v>13.0</v>
      </c>
      <c r="P85" s="70">
        <v>43.0</v>
      </c>
      <c r="Q85" s="70">
        <v>6.0</v>
      </c>
      <c r="R85" s="70">
        <v>34.0</v>
      </c>
      <c r="S85" s="70">
        <v>24.0</v>
      </c>
      <c r="T85" s="70">
        <v>14.0</v>
      </c>
      <c r="U85" s="70">
        <v>12.0</v>
      </c>
      <c r="V85" s="70">
        <v>16.0</v>
      </c>
      <c r="W85" s="70">
        <v>4.0</v>
      </c>
      <c r="X85" s="71">
        <v>5.0</v>
      </c>
      <c r="Y85" s="70">
        <v>6.0</v>
      </c>
      <c r="Z85" s="77">
        <v>5.0</v>
      </c>
      <c r="AA85" s="72">
        <f t="shared" si="3"/>
        <v>182</v>
      </c>
    </row>
    <row r="86">
      <c r="M86" s="78" t="s">
        <v>64</v>
      </c>
      <c r="N86" s="79" t="s">
        <v>4</v>
      </c>
      <c r="O86" s="80">
        <v>41.0</v>
      </c>
      <c r="P86" s="80">
        <v>26.0</v>
      </c>
      <c r="Q86" s="80">
        <v>26.0</v>
      </c>
      <c r="R86" s="80">
        <v>33.0</v>
      </c>
      <c r="S86" s="80">
        <v>35.0</v>
      </c>
      <c r="T86" s="80">
        <v>17.0</v>
      </c>
      <c r="U86" s="80">
        <v>48.0</v>
      </c>
      <c r="V86" s="80">
        <v>45.0</v>
      </c>
      <c r="W86" s="80">
        <v>22.0</v>
      </c>
      <c r="X86" s="81">
        <v>15.0</v>
      </c>
      <c r="Y86" s="80">
        <v>27.0</v>
      </c>
      <c r="Z86" s="80">
        <v>53.0</v>
      </c>
      <c r="AA86" s="82">
        <f t="shared" si="3"/>
        <v>388</v>
      </c>
    </row>
    <row r="87">
      <c r="M87" s="73"/>
      <c r="N87" s="83" t="s">
        <v>40</v>
      </c>
      <c r="O87" s="80">
        <v>29.0</v>
      </c>
      <c r="P87" s="80">
        <v>15.0</v>
      </c>
      <c r="Q87" s="80">
        <v>17.0</v>
      </c>
      <c r="R87" s="80">
        <v>20.0</v>
      </c>
      <c r="S87" s="80">
        <v>25.0</v>
      </c>
      <c r="T87" s="80">
        <v>13.0</v>
      </c>
      <c r="U87" s="80">
        <v>43.0</v>
      </c>
      <c r="V87" s="80">
        <v>35.0</v>
      </c>
      <c r="W87" s="80">
        <v>18.0</v>
      </c>
      <c r="X87" s="81">
        <v>13.0</v>
      </c>
      <c r="Y87" s="80">
        <v>26.0</v>
      </c>
      <c r="Z87" s="80">
        <v>45.0</v>
      </c>
      <c r="AA87" s="82">
        <f t="shared" si="3"/>
        <v>299</v>
      </c>
    </row>
    <row r="88">
      <c r="M88" s="73"/>
      <c r="N88" s="84" t="s">
        <v>42</v>
      </c>
      <c r="O88" s="80">
        <v>12.0</v>
      </c>
      <c r="P88" s="80">
        <v>11.0</v>
      </c>
      <c r="Q88" s="80">
        <v>9.0</v>
      </c>
      <c r="R88" s="80">
        <v>13.0</v>
      </c>
      <c r="S88" s="80">
        <v>10.0</v>
      </c>
      <c r="T88" s="80">
        <v>4.0</v>
      </c>
      <c r="U88" s="80">
        <v>5.0</v>
      </c>
      <c r="V88" s="80">
        <v>10.0</v>
      </c>
      <c r="W88" s="80">
        <v>4.0</v>
      </c>
      <c r="X88" s="81">
        <v>2.0</v>
      </c>
      <c r="Y88" s="80">
        <v>1.0</v>
      </c>
      <c r="Z88" s="80">
        <v>8.0</v>
      </c>
      <c r="AA88" s="82">
        <f t="shared" si="3"/>
        <v>89</v>
      </c>
    </row>
    <row r="89">
      <c r="M89" s="67" t="s">
        <v>65</v>
      </c>
      <c r="N89" s="68" t="s">
        <v>4</v>
      </c>
      <c r="O89" s="70">
        <v>4.0</v>
      </c>
      <c r="P89" s="70">
        <v>3.0</v>
      </c>
      <c r="Q89" s="70">
        <v>1.0</v>
      </c>
      <c r="R89" s="70">
        <v>6.0</v>
      </c>
      <c r="S89" s="70">
        <v>5.0</v>
      </c>
      <c r="T89" s="70">
        <v>0.0</v>
      </c>
      <c r="U89" s="70">
        <v>10.0</v>
      </c>
      <c r="V89" s="70">
        <v>3.0</v>
      </c>
      <c r="W89" s="70">
        <v>5.0</v>
      </c>
      <c r="X89" s="71">
        <v>6.0</v>
      </c>
      <c r="Y89" s="70">
        <v>10.0</v>
      </c>
      <c r="Z89" s="70">
        <v>4.0</v>
      </c>
      <c r="AA89" s="72">
        <f t="shared" si="3"/>
        <v>57</v>
      </c>
    </row>
    <row r="90">
      <c r="M90" s="73"/>
      <c r="N90" s="74" t="s">
        <v>40</v>
      </c>
      <c r="O90" s="70">
        <v>4.0</v>
      </c>
      <c r="P90" s="70">
        <v>3.0</v>
      </c>
      <c r="Q90" s="70">
        <v>0.0</v>
      </c>
      <c r="R90" s="70">
        <v>6.0</v>
      </c>
      <c r="S90" s="70">
        <v>5.0</v>
      </c>
      <c r="T90" s="70">
        <v>0.0</v>
      </c>
      <c r="U90" s="70">
        <v>9.0</v>
      </c>
      <c r="V90" s="70">
        <v>2.0</v>
      </c>
      <c r="W90" s="70">
        <v>3.0</v>
      </c>
      <c r="X90" s="71">
        <v>6.0</v>
      </c>
      <c r="Y90" s="70">
        <v>10.0</v>
      </c>
      <c r="Z90" s="70">
        <v>3.0</v>
      </c>
      <c r="AA90" s="72">
        <f t="shared" si="3"/>
        <v>51</v>
      </c>
    </row>
    <row r="91">
      <c r="M91" s="73"/>
      <c r="N91" s="69" t="s">
        <v>42</v>
      </c>
      <c r="O91" s="70">
        <v>0.0</v>
      </c>
      <c r="P91" s="70">
        <v>0.0</v>
      </c>
      <c r="Q91" s="70">
        <v>1.0</v>
      </c>
      <c r="R91" s="70">
        <v>0.0</v>
      </c>
      <c r="S91" s="70">
        <v>0.0</v>
      </c>
      <c r="T91" s="70">
        <v>0.0</v>
      </c>
      <c r="U91" s="70">
        <v>1.0</v>
      </c>
      <c r="V91" s="70">
        <v>1.0</v>
      </c>
      <c r="W91" s="70">
        <v>2.0</v>
      </c>
      <c r="X91" s="71">
        <v>0.0</v>
      </c>
      <c r="Y91" s="70">
        <v>0.0</v>
      </c>
      <c r="Z91" s="77">
        <v>1.0</v>
      </c>
      <c r="AA91" s="72">
        <f t="shared" si="3"/>
        <v>6</v>
      </c>
    </row>
    <row r="92">
      <c r="M92" s="112" t="s">
        <v>51</v>
      </c>
      <c r="N92" s="79" t="s">
        <v>4</v>
      </c>
      <c r="O92" s="80">
        <v>2.0</v>
      </c>
      <c r="P92" s="80">
        <v>0.0</v>
      </c>
      <c r="Q92" s="80">
        <v>1.0</v>
      </c>
      <c r="R92" s="80">
        <v>0.0</v>
      </c>
      <c r="S92" s="80">
        <v>0.0</v>
      </c>
      <c r="T92" s="80">
        <v>0.0</v>
      </c>
      <c r="U92" s="80">
        <v>1.0</v>
      </c>
      <c r="V92" s="80">
        <v>0.0</v>
      </c>
      <c r="W92" s="80">
        <v>0.0</v>
      </c>
      <c r="X92" s="81">
        <v>3.0</v>
      </c>
      <c r="Y92" s="80">
        <v>2.0</v>
      </c>
      <c r="Z92" s="80">
        <v>2.0</v>
      </c>
      <c r="AA92" s="82">
        <f t="shared" si="3"/>
        <v>11</v>
      </c>
    </row>
    <row r="93">
      <c r="M93" s="73"/>
      <c r="N93" s="83" t="s">
        <v>40</v>
      </c>
      <c r="O93" s="80">
        <v>1.0</v>
      </c>
      <c r="P93" s="80">
        <v>0.0</v>
      </c>
      <c r="Q93" s="80">
        <v>1.0</v>
      </c>
      <c r="R93" s="80">
        <v>0.0</v>
      </c>
      <c r="S93" s="80">
        <v>0.0</v>
      </c>
      <c r="T93" s="80">
        <v>0.0</v>
      </c>
      <c r="U93" s="80">
        <v>1.0</v>
      </c>
      <c r="V93" s="80">
        <v>0.0</v>
      </c>
      <c r="W93" s="80">
        <v>0.0</v>
      </c>
      <c r="X93" s="81">
        <v>3.0</v>
      </c>
      <c r="Y93" s="80">
        <v>2.0</v>
      </c>
      <c r="Z93" s="80">
        <v>2.0</v>
      </c>
      <c r="AA93" s="82">
        <f t="shared" si="3"/>
        <v>10</v>
      </c>
    </row>
    <row r="94">
      <c r="M94" s="7"/>
      <c r="N94" s="84" t="s">
        <v>42</v>
      </c>
      <c r="O94" s="80">
        <v>1.0</v>
      </c>
      <c r="P94" s="80">
        <v>0.0</v>
      </c>
      <c r="Q94" s="80">
        <v>0.0</v>
      </c>
      <c r="R94" s="80">
        <v>0.0</v>
      </c>
      <c r="S94" s="80">
        <v>0.0</v>
      </c>
      <c r="T94" s="80">
        <v>0.0</v>
      </c>
      <c r="U94" s="80">
        <v>0.0</v>
      </c>
      <c r="V94" s="80">
        <v>0.0</v>
      </c>
      <c r="W94" s="80">
        <v>0.0</v>
      </c>
      <c r="X94" s="81">
        <v>0.0</v>
      </c>
      <c r="Y94" s="80">
        <v>0.0</v>
      </c>
      <c r="Z94" s="80">
        <v>0.0</v>
      </c>
      <c r="AA94" s="82">
        <f t="shared" si="3"/>
        <v>1</v>
      </c>
    </row>
    <row r="95">
      <c r="M95" s="113"/>
    </row>
    <row r="98">
      <c r="M98" s="113"/>
    </row>
  </sheetData>
  <mergeCells count="32">
    <mergeCell ref="B47:B48"/>
    <mergeCell ref="B49:B51"/>
    <mergeCell ref="C2:E2"/>
    <mergeCell ref="C4:C5"/>
    <mergeCell ref="D6:E6"/>
    <mergeCell ref="C8:I8"/>
    <mergeCell ref="D24:I24"/>
    <mergeCell ref="B30:I30"/>
    <mergeCell ref="B33:B46"/>
    <mergeCell ref="B32:C32"/>
    <mergeCell ref="M35:M37"/>
    <mergeCell ref="M38:M40"/>
    <mergeCell ref="M41:M43"/>
    <mergeCell ref="M44:M46"/>
    <mergeCell ref="M47:M49"/>
    <mergeCell ref="B52:C52"/>
    <mergeCell ref="M50:M52"/>
    <mergeCell ref="M53:M55"/>
    <mergeCell ref="M56:M58"/>
    <mergeCell ref="M59:M61"/>
    <mergeCell ref="M62:M64"/>
    <mergeCell ref="M65:M67"/>
    <mergeCell ref="M68:M70"/>
    <mergeCell ref="M92:M94"/>
    <mergeCell ref="M95:M97"/>
    <mergeCell ref="M71:M73"/>
    <mergeCell ref="M74:M76"/>
    <mergeCell ref="M77:M79"/>
    <mergeCell ref="M80:M82"/>
    <mergeCell ref="M83:M85"/>
    <mergeCell ref="M86:M88"/>
    <mergeCell ref="M89:M91"/>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4" width="24.0"/>
  </cols>
  <sheetData>
    <row r="3" ht="33.75" customHeight="1">
      <c r="B3" s="114" t="s">
        <v>66</v>
      </c>
      <c r="C3" s="40"/>
      <c r="D3" s="41"/>
    </row>
    <row r="5">
      <c r="B5" s="115" t="s">
        <v>67</v>
      </c>
      <c r="C5" s="115" t="s">
        <v>68</v>
      </c>
      <c r="D5" s="115" t="s">
        <v>69</v>
      </c>
    </row>
    <row r="6">
      <c r="B6" s="116" t="s">
        <v>70</v>
      </c>
      <c r="C6" s="117">
        <v>6790.0</v>
      </c>
      <c r="D6" s="118">
        <f>C6/C12</f>
        <v>0.3847461469</v>
      </c>
    </row>
    <row r="7">
      <c r="B7" s="119" t="s">
        <v>71</v>
      </c>
      <c r="C7" s="120">
        <v>3133.0</v>
      </c>
      <c r="D7" s="118">
        <f>C7/C12</f>
        <v>0.1775271985</v>
      </c>
    </row>
    <row r="8">
      <c r="B8" s="119" t="s">
        <v>72</v>
      </c>
      <c r="C8" s="120">
        <v>1230.0</v>
      </c>
      <c r="D8" s="118">
        <f>C8/C12</f>
        <v>0.06969628286</v>
      </c>
    </row>
    <row r="9">
      <c r="B9" s="119" t="s">
        <v>73</v>
      </c>
      <c r="C9" s="120">
        <v>5405.0</v>
      </c>
      <c r="D9" s="121">
        <f>C9/C12</f>
        <v>0.3062669991</v>
      </c>
    </row>
    <row r="10">
      <c r="B10" s="119" t="s">
        <v>74</v>
      </c>
      <c r="C10" s="120">
        <v>995.0</v>
      </c>
      <c r="D10" s="121">
        <f>C10/C12</f>
        <v>0.05638032638</v>
      </c>
    </row>
    <row r="11">
      <c r="B11" s="119" t="s">
        <v>75</v>
      </c>
      <c r="C11" s="120">
        <v>95.0</v>
      </c>
      <c r="D11" s="121">
        <f>C11/C12</f>
        <v>0.005383046238</v>
      </c>
    </row>
    <row r="12">
      <c r="B12" s="115" t="s">
        <v>4</v>
      </c>
      <c r="C12" s="122">
        <f>sum(C6:C11)</f>
        <v>17648</v>
      </c>
      <c r="D12" s="123">
        <f>SUM(D6:D11)</f>
        <v>1</v>
      </c>
    </row>
    <row r="13">
      <c r="D13" s="124"/>
    </row>
  </sheetData>
  <mergeCells count="1">
    <mergeCell ref="B3:D3"/>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15.75"/>
    <col customWidth="1" min="3" max="3" width="17.88"/>
    <col customWidth="1" min="4" max="4" width="17.25"/>
    <col customWidth="1" min="5" max="5" width="16.25"/>
    <col customWidth="1" min="6" max="6" width="17.0"/>
    <col customWidth="1" min="7" max="7" width="19.63"/>
    <col customWidth="1" min="8" max="8" width="16.13"/>
  </cols>
  <sheetData>
    <row r="3" ht="33.0" customHeight="1">
      <c r="B3" s="12" t="s">
        <v>76</v>
      </c>
      <c r="C3" s="2"/>
      <c r="D3" s="2"/>
      <c r="E3" s="2"/>
      <c r="F3" s="2"/>
      <c r="G3" s="2"/>
      <c r="H3" s="3"/>
    </row>
    <row r="4">
      <c r="B4" s="13"/>
      <c r="C4" s="13"/>
    </row>
    <row r="5">
      <c r="B5" s="125" t="s">
        <v>6</v>
      </c>
      <c r="C5" s="126" t="s">
        <v>7</v>
      </c>
      <c r="D5" s="127" t="s">
        <v>77</v>
      </c>
      <c r="E5" s="128" t="s">
        <v>78</v>
      </c>
      <c r="F5" s="129" t="s">
        <v>10</v>
      </c>
      <c r="G5" s="130" t="s">
        <v>79</v>
      </c>
      <c r="H5" s="131" t="s">
        <v>80</v>
      </c>
    </row>
    <row r="6">
      <c r="B6" s="59" t="s">
        <v>13</v>
      </c>
      <c r="C6" s="22">
        <v>859.0</v>
      </c>
      <c r="D6" s="24">
        <v>603.0</v>
      </c>
      <c r="E6" s="132">
        <f t="shared" ref="E6:E16" si="1">(D6/C6)*100</f>
        <v>70.19790454</v>
      </c>
      <c r="F6" s="133">
        <v>555.0</v>
      </c>
      <c r="G6" s="134">
        <v>524.0</v>
      </c>
      <c r="H6" s="135">
        <f t="shared" ref="H6:H18" si="2">(G6/F6)*100</f>
        <v>94.41441441</v>
      </c>
    </row>
    <row r="7">
      <c r="B7" s="59" t="s">
        <v>14</v>
      </c>
      <c r="C7" s="22">
        <v>782.0</v>
      </c>
      <c r="D7" s="24">
        <v>566.0</v>
      </c>
      <c r="E7" s="132">
        <f t="shared" si="1"/>
        <v>72.37851662</v>
      </c>
      <c r="F7" s="133">
        <v>577.0</v>
      </c>
      <c r="G7" s="134">
        <v>516.0</v>
      </c>
      <c r="H7" s="135">
        <f t="shared" si="2"/>
        <v>89.42807626</v>
      </c>
    </row>
    <row r="8">
      <c r="B8" s="59" t="s">
        <v>15</v>
      </c>
      <c r="C8" s="22">
        <v>761.0</v>
      </c>
      <c r="D8" s="24">
        <v>618.0</v>
      </c>
      <c r="E8" s="132">
        <f t="shared" si="1"/>
        <v>81.20893561</v>
      </c>
      <c r="F8" s="133">
        <v>444.0</v>
      </c>
      <c r="G8" s="134">
        <v>404.0</v>
      </c>
      <c r="H8" s="135">
        <f t="shared" si="2"/>
        <v>90.99099099</v>
      </c>
    </row>
    <row r="9">
      <c r="B9" s="59" t="s">
        <v>16</v>
      </c>
      <c r="C9" s="22">
        <v>1380.0</v>
      </c>
      <c r="D9" s="24">
        <v>959.0</v>
      </c>
      <c r="E9" s="132">
        <f t="shared" si="1"/>
        <v>69.49275362</v>
      </c>
      <c r="F9" s="133">
        <v>755.0</v>
      </c>
      <c r="G9" s="134">
        <v>689.0</v>
      </c>
      <c r="H9" s="135">
        <f t="shared" si="2"/>
        <v>91.25827815</v>
      </c>
    </row>
    <row r="10">
      <c r="B10" s="59" t="s">
        <v>17</v>
      </c>
      <c r="C10" s="22">
        <v>1269.0</v>
      </c>
      <c r="D10" s="24">
        <v>906.0</v>
      </c>
      <c r="E10" s="132">
        <f t="shared" si="1"/>
        <v>71.39479905</v>
      </c>
      <c r="F10" s="133">
        <v>631.0</v>
      </c>
      <c r="G10" s="134">
        <v>544.0</v>
      </c>
      <c r="H10" s="135">
        <f t="shared" si="2"/>
        <v>86.21236133</v>
      </c>
    </row>
    <row r="11">
      <c r="B11" s="59" t="s">
        <v>18</v>
      </c>
      <c r="C11" s="22">
        <v>704.0</v>
      </c>
      <c r="D11" s="24">
        <v>518.0</v>
      </c>
      <c r="E11" s="132">
        <f t="shared" si="1"/>
        <v>73.57954545</v>
      </c>
      <c r="F11" s="133">
        <v>499.0</v>
      </c>
      <c r="G11" s="134">
        <v>476.0</v>
      </c>
      <c r="H11" s="135">
        <f t="shared" si="2"/>
        <v>95.39078156</v>
      </c>
    </row>
    <row r="12">
      <c r="B12" s="59" t="s">
        <v>19</v>
      </c>
      <c r="C12" s="22">
        <v>1130.0</v>
      </c>
      <c r="D12" s="24">
        <v>815.0</v>
      </c>
      <c r="E12" s="132">
        <f t="shared" si="1"/>
        <v>72.12389381</v>
      </c>
      <c r="F12" s="133">
        <v>824.0</v>
      </c>
      <c r="G12" s="134">
        <v>788.0</v>
      </c>
      <c r="H12" s="135">
        <f t="shared" si="2"/>
        <v>95.63106796</v>
      </c>
    </row>
    <row r="13">
      <c r="B13" s="59" t="s">
        <v>20</v>
      </c>
      <c r="C13" s="22">
        <v>1107.0</v>
      </c>
      <c r="D13" s="24">
        <v>792.0</v>
      </c>
      <c r="E13" s="132">
        <f t="shared" si="1"/>
        <v>71.54471545</v>
      </c>
      <c r="F13" s="133">
        <v>517.0</v>
      </c>
      <c r="G13" s="134">
        <v>506.0</v>
      </c>
      <c r="H13" s="135">
        <f t="shared" si="2"/>
        <v>97.87234043</v>
      </c>
    </row>
    <row r="14">
      <c r="B14" s="59" t="s">
        <v>21</v>
      </c>
      <c r="C14" s="22">
        <v>806.0</v>
      </c>
      <c r="D14" s="24">
        <v>601.0</v>
      </c>
      <c r="E14" s="132">
        <f t="shared" si="1"/>
        <v>74.56575682</v>
      </c>
      <c r="F14" s="133">
        <v>550.0</v>
      </c>
      <c r="G14" s="134">
        <v>520.0</v>
      </c>
      <c r="H14" s="135">
        <f t="shared" si="2"/>
        <v>94.54545455</v>
      </c>
    </row>
    <row r="15">
      <c r="B15" s="59" t="s">
        <v>22</v>
      </c>
      <c r="C15" s="22">
        <v>803.0</v>
      </c>
      <c r="D15" s="24">
        <v>576.0</v>
      </c>
      <c r="E15" s="132">
        <f t="shared" si="1"/>
        <v>71.73100872</v>
      </c>
      <c r="F15" s="133">
        <v>691.0</v>
      </c>
      <c r="G15" s="134">
        <v>652.0</v>
      </c>
      <c r="H15" s="135">
        <f t="shared" si="2"/>
        <v>94.35600579</v>
      </c>
    </row>
    <row r="16">
      <c r="B16" s="136" t="s">
        <v>23</v>
      </c>
      <c r="C16" s="28">
        <v>935.0</v>
      </c>
      <c r="D16" s="24">
        <v>708.0</v>
      </c>
      <c r="E16" s="132">
        <f t="shared" si="1"/>
        <v>75.72192513</v>
      </c>
      <c r="F16" s="137">
        <v>648.0</v>
      </c>
      <c r="G16" s="134">
        <v>610.0</v>
      </c>
      <c r="H16" s="138">
        <f t="shared" si="2"/>
        <v>94.13580247</v>
      </c>
    </row>
    <row r="17">
      <c r="B17" s="136" t="s">
        <v>24</v>
      </c>
      <c r="C17" s="28">
        <v>868.0</v>
      </c>
      <c r="D17" s="139">
        <v>683.0</v>
      </c>
      <c r="E17" s="132">
        <v>78.0</v>
      </c>
      <c r="F17" s="137">
        <v>645.0</v>
      </c>
      <c r="G17" s="134">
        <v>616.0</v>
      </c>
      <c r="H17" s="138">
        <f t="shared" si="2"/>
        <v>95.50387597</v>
      </c>
    </row>
    <row r="18">
      <c r="B18" s="32" t="s">
        <v>4</v>
      </c>
      <c r="C18" s="140">
        <f t="shared" ref="C18:D18" si="3">SUM(C6:C17)</f>
        <v>11404</v>
      </c>
      <c r="D18" s="141">
        <f t="shared" si="3"/>
        <v>8345</v>
      </c>
      <c r="E18" s="142">
        <f>D18/C18</f>
        <v>0.7317607857</v>
      </c>
      <c r="F18" s="143">
        <f t="shared" ref="F18:G18" si="4">SUM(F6:F17)</f>
        <v>7336</v>
      </c>
      <c r="G18" s="144">
        <f t="shared" si="4"/>
        <v>6845</v>
      </c>
      <c r="H18" s="145">
        <f t="shared" si="2"/>
        <v>93.30697928</v>
      </c>
    </row>
    <row r="19">
      <c r="B19" s="32" t="s">
        <v>81</v>
      </c>
      <c r="C19" s="146">
        <f>((D18+G18)/(C18+F18))*100</f>
        <v>81.0565635</v>
      </c>
      <c r="D19" s="40"/>
      <c r="E19" s="40"/>
      <c r="F19" s="40"/>
      <c r="G19" s="40"/>
      <c r="H19" s="41"/>
    </row>
  </sheetData>
  <mergeCells count="2">
    <mergeCell ref="B3:H3"/>
    <mergeCell ref="C19:H19"/>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5"/>
    <col customWidth="1" min="2" max="2" width="26.63"/>
    <col customWidth="1" min="3" max="3" width="15.13"/>
    <col customWidth="1" min="4" max="4" width="14.25"/>
    <col customWidth="1" min="5" max="5" width="15.38"/>
    <col customWidth="1" min="6" max="6" width="10.88"/>
    <col customWidth="1" min="7" max="7" width="11.63"/>
    <col customWidth="1" min="8" max="8" width="6.0"/>
    <col customWidth="1" min="9" max="9" width="14.38"/>
    <col customWidth="1" min="12" max="12" width="20.38"/>
    <col customWidth="1" min="13" max="13" width="31.63"/>
  </cols>
  <sheetData>
    <row r="3" ht="33.75" customHeight="1">
      <c r="C3" s="147" t="s">
        <v>82</v>
      </c>
      <c r="D3" s="2"/>
      <c r="E3" s="2"/>
      <c r="F3" s="3"/>
    </row>
    <row r="5">
      <c r="C5" s="4" t="s">
        <v>1</v>
      </c>
      <c r="D5" s="5" t="s">
        <v>2</v>
      </c>
      <c r="E5" s="148" t="s">
        <v>3</v>
      </c>
      <c r="F5" s="3"/>
    </row>
    <row r="6">
      <c r="C6" s="7"/>
      <c r="D6" s="8">
        <v>46309.0</v>
      </c>
      <c r="E6" s="149">
        <v>500535.0</v>
      </c>
      <c r="F6" s="3"/>
    </row>
    <row r="7">
      <c r="C7" s="10" t="s">
        <v>4</v>
      </c>
      <c r="D7" s="11">
        <f>(D6+E6)</f>
        <v>546844</v>
      </c>
      <c r="E7" s="2"/>
      <c r="F7" s="3"/>
    </row>
    <row r="11" ht="33.0" customHeight="1">
      <c r="B11" s="150" t="s">
        <v>83</v>
      </c>
      <c r="C11" s="40"/>
      <c r="D11" s="40"/>
      <c r="E11" s="40"/>
      <c r="F11" s="40"/>
      <c r="G11" s="40"/>
      <c r="H11" s="40"/>
      <c r="I11" s="40"/>
      <c r="J11" s="40"/>
      <c r="K11" s="41"/>
      <c r="M11" s="63" t="s">
        <v>84</v>
      </c>
      <c r="N11" s="64" t="s">
        <v>85</v>
      </c>
      <c r="O11" s="64" t="s">
        <v>13</v>
      </c>
      <c r="P11" s="64" t="s">
        <v>14</v>
      </c>
      <c r="Q11" s="65" t="s">
        <v>15</v>
      </c>
      <c r="R11" s="64" t="s">
        <v>16</v>
      </c>
      <c r="S11" s="64" t="s">
        <v>17</v>
      </c>
      <c r="T11" s="64" t="s">
        <v>18</v>
      </c>
      <c r="U11" s="64" t="s">
        <v>19</v>
      </c>
      <c r="V11" s="64" t="s">
        <v>20</v>
      </c>
      <c r="W11" s="64" t="s">
        <v>21</v>
      </c>
      <c r="X11" s="64" t="s">
        <v>22</v>
      </c>
      <c r="Y11" s="64" t="s">
        <v>23</v>
      </c>
      <c r="Z11" s="64" t="s">
        <v>24</v>
      </c>
      <c r="AA11" s="66" t="s">
        <v>86</v>
      </c>
    </row>
    <row r="12" ht="21.0" customHeight="1">
      <c r="M12" s="151" t="s">
        <v>87</v>
      </c>
      <c r="N12" s="68" t="s">
        <v>4</v>
      </c>
      <c r="O12" s="69">
        <v>43.0</v>
      </c>
      <c r="P12" s="70">
        <v>47.0</v>
      </c>
      <c r="Q12" s="70">
        <v>60.0</v>
      </c>
      <c r="R12" s="70">
        <v>109.0</v>
      </c>
      <c r="S12" s="70">
        <v>87.0</v>
      </c>
      <c r="T12" s="70">
        <v>50.0</v>
      </c>
      <c r="U12" s="70">
        <v>76.0</v>
      </c>
      <c r="V12" s="70">
        <v>55.0</v>
      </c>
      <c r="W12" s="70">
        <v>56.0</v>
      </c>
      <c r="X12" s="71">
        <v>78.0</v>
      </c>
      <c r="Y12" s="70">
        <v>44.0</v>
      </c>
      <c r="Z12" s="70">
        <v>73.0</v>
      </c>
      <c r="AA12" s="72">
        <f t="shared" ref="AA12:AA65" si="1">sum(O12:Z12)</f>
        <v>778</v>
      </c>
    </row>
    <row r="13" ht="21.0" customHeight="1">
      <c r="B13" s="152" t="s">
        <v>2</v>
      </c>
      <c r="C13" s="40"/>
      <c r="D13" s="41"/>
      <c r="E13" s="32"/>
      <c r="F13" s="152" t="s">
        <v>3</v>
      </c>
      <c r="G13" s="40"/>
      <c r="H13" s="40"/>
      <c r="I13" s="40"/>
      <c r="J13" s="40"/>
      <c r="K13" s="41"/>
      <c r="M13" s="73"/>
      <c r="N13" s="74" t="s">
        <v>40</v>
      </c>
      <c r="O13" s="69">
        <v>37.0</v>
      </c>
      <c r="P13" s="70">
        <v>41.0</v>
      </c>
      <c r="Q13" s="70">
        <v>54.0</v>
      </c>
      <c r="R13" s="70">
        <v>88.0</v>
      </c>
      <c r="S13" s="70">
        <v>79.0</v>
      </c>
      <c r="T13" s="70">
        <v>48.0</v>
      </c>
      <c r="U13" s="70">
        <v>74.0</v>
      </c>
      <c r="V13" s="70">
        <v>49.0</v>
      </c>
      <c r="W13" s="70">
        <v>53.0</v>
      </c>
      <c r="X13" s="71">
        <v>68.0</v>
      </c>
      <c r="Y13" s="70">
        <v>40.0</v>
      </c>
      <c r="Z13" s="70">
        <v>61.0</v>
      </c>
      <c r="AA13" s="72">
        <f t="shared" si="1"/>
        <v>692</v>
      </c>
    </row>
    <row r="14">
      <c r="B14" s="32" t="s">
        <v>88</v>
      </c>
      <c r="C14" s="32" t="s">
        <v>4</v>
      </c>
      <c r="D14" s="153" t="s">
        <v>89</v>
      </c>
      <c r="E14" s="154" t="s">
        <v>90</v>
      </c>
      <c r="F14" s="155" t="s">
        <v>88</v>
      </c>
      <c r="G14" s="156"/>
      <c r="H14" s="157"/>
      <c r="I14" s="158" t="s">
        <v>4</v>
      </c>
      <c r="J14" s="159" t="s">
        <v>89</v>
      </c>
      <c r="K14" s="160" t="s">
        <v>91</v>
      </c>
      <c r="M14" s="73"/>
      <c r="N14" s="69" t="s">
        <v>42</v>
      </c>
      <c r="O14" s="69">
        <v>6.0</v>
      </c>
      <c r="P14" s="70">
        <v>6.0</v>
      </c>
      <c r="Q14" s="70">
        <v>6.0</v>
      </c>
      <c r="R14" s="70">
        <v>21.0</v>
      </c>
      <c r="S14" s="70">
        <v>8.0</v>
      </c>
      <c r="T14" s="70">
        <v>2.0</v>
      </c>
      <c r="U14" s="70">
        <v>2.0</v>
      </c>
      <c r="V14" s="70">
        <v>6.0</v>
      </c>
      <c r="W14" s="70">
        <v>3.0</v>
      </c>
      <c r="X14" s="71">
        <v>10.0</v>
      </c>
      <c r="Y14" s="70">
        <v>4.0</v>
      </c>
      <c r="Z14" s="77">
        <v>12.0</v>
      </c>
      <c r="AA14" s="72">
        <f t="shared" si="1"/>
        <v>86</v>
      </c>
    </row>
    <row r="15">
      <c r="B15" s="161" t="s">
        <v>92</v>
      </c>
      <c r="C15" s="162">
        <v>6645.0</v>
      </c>
      <c r="D15" s="163">
        <v>5131.0</v>
      </c>
      <c r="E15" s="164">
        <v>1514.0</v>
      </c>
      <c r="F15" s="165" t="s">
        <v>93</v>
      </c>
      <c r="G15" s="166"/>
      <c r="H15" s="167"/>
      <c r="I15" s="168">
        <v>450817.0</v>
      </c>
      <c r="J15" s="169">
        <v>450565.0</v>
      </c>
      <c r="K15" s="170">
        <v>252.0</v>
      </c>
      <c r="L15" s="171"/>
      <c r="M15" s="172" t="s">
        <v>94</v>
      </c>
      <c r="N15" s="79" t="s">
        <v>4</v>
      </c>
      <c r="O15" s="173">
        <v>575.0</v>
      </c>
      <c r="P15" s="80">
        <v>518.0</v>
      </c>
      <c r="Q15" s="80">
        <v>480.0</v>
      </c>
      <c r="R15" s="173">
        <v>965.0</v>
      </c>
      <c r="S15" s="80">
        <v>880.0</v>
      </c>
      <c r="T15" s="80">
        <v>426.0</v>
      </c>
      <c r="U15" s="80">
        <v>658.0</v>
      </c>
      <c r="V15" s="80">
        <v>717.0</v>
      </c>
      <c r="W15" s="80">
        <v>459.0</v>
      </c>
      <c r="X15" s="81">
        <v>463.0</v>
      </c>
      <c r="Y15" s="80">
        <v>573.0</v>
      </c>
      <c r="Z15" s="80">
        <v>536.0</v>
      </c>
      <c r="AA15" s="174">
        <f t="shared" si="1"/>
        <v>7250</v>
      </c>
    </row>
    <row r="16">
      <c r="B16" s="175" t="s">
        <v>95</v>
      </c>
      <c r="C16" s="176">
        <v>1340.0</v>
      </c>
      <c r="D16" s="163">
        <v>1307.0</v>
      </c>
      <c r="E16" s="164">
        <v>33.0</v>
      </c>
      <c r="F16" s="177" t="s">
        <v>96</v>
      </c>
      <c r="G16" s="2"/>
      <c r="H16" s="3"/>
      <c r="I16" s="168">
        <v>5785.0</v>
      </c>
      <c r="J16" s="169">
        <v>5779.0</v>
      </c>
      <c r="K16" s="170">
        <v>6.0</v>
      </c>
      <c r="M16" s="73"/>
      <c r="N16" s="83" t="s">
        <v>40</v>
      </c>
      <c r="O16" s="80">
        <v>482.0</v>
      </c>
      <c r="P16" s="80">
        <v>451.0</v>
      </c>
      <c r="Q16" s="80">
        <v>445.0</v>
      </c>
      <c r="R16" s="80">
        <v>835.0</v>
      </c>
      <c r="S16" s="80">
        <v>768.0</v>
      </c>
      <c r="T16" s="80">
        <v>359.0</v>
      </c>
      <c r="U16" s="80">
        <v>589.0</v>
      </c>
      <c r="V16" s="80">
        <v>600.0</v>
      </c>
      <c r="W16" s="80">
        <v>392.0</v>
      </c>
      <c r="X16" s="81">
        <v>400.0</v>
      </c>
      <c r="Y16" s="80">
        <v>545.0</v>
      </c>
      <c r="Z16" s="80">
        <v>522.0</v>
      </c>
      <c r="AA16" s="82">
        <f t="shared" si="1"/>
        <v>6388</v>
      </c>
    </row>
    <row r="17">
      <c r="B17" s="175" t="s">
        <v>97</v>
      </c>
      <c r="C17" s="176">
        <v>365.0</v>
      </c>
      <c r="D17" s="163">
        <v>365.0</v>
      </c>
      <c r="E17" s="164">
        <v>0.0</v>
      </c>
      <c r="F17" s="177" t="s">
        <v>98</v>
      </c>
      <c r="G17" s="2"/>
      <c r="H17" s="3"/>
      <c r="I17" s="168">
        <v>7662.0</v>
      </c>
      <c r="J17" s="178">
        <v>6833.0</v>
      </c>
      <c r="K17" s="179">
        <v>229.0</v>
      </c>
      <c r="M17" s="73"/>
      <c r="N17" s="84" t="s">
        <v>42</v>
      </c>
      <c r="O17" s="80">
        <v>93.0</v>
      </c>
      <c r="P17" s="80">
        <v>67.0</v>
      </c>
      <c r="Q17" s="80">
        <v>35.0</v>
      </c>
      <c r="R17" s="80">
        <v>130.0</v>
      </c>
      <c r="S17" s="80">
        <v>112.0</v>
      </c>
      <c r="T17" s="80">
        <v>67.0</v>
      </c>
      <c r="U17" s="80">
        <v>69.0</v>
      </c>
      <c r="V17" s="80">
        <v>117.0</v>
      </c>
      <c r="W17" s="80">
        <v>67.0</v>
      </c>
      <c r="X17" s="81">
        <v>63.0</v>
      </c>
      <c r="Y17" s="80">
        <v>28.0</v>
      </c>
      <c r="Z17" s="80">
        <v>14.0</v>
      </c>
      <c r="AA17" s="82">
        <f t="shared" si="1"/>
        <v>862</v>
      </c>
    </row>
    <row r="18">
      <c r="B18" s="175" t="s">
        <v>99</v>
      </c>
      <c r="C18" s="176">
        <v>1356.0</v>
      </c>
      <c r="D18" s="163">
        <v>1356.0</v>
      </c>
      <c r="E18" s="164">
        <v>0.0</v>
      </c>
      <c r="F18" s="177" t="s">
        <v>100</v>
      </c>
      <c r="G18" s="2"/>
      <c r="H18" s="3"/>
      <c r="I18" s="168">
        <v>4014.0</v>
      </c>
      <c r="J18" s="180">
        <v>4012.0</v>
      </c>
      <c r="K18" s="181">
        <v>2.0</v>
      </c>
      <c r="M18" s="151" t="s">
        <v>101</v>
      </c>
      <c r="N18" s="68" t="s">
        <v>4</v>
      </c>
      <c r="O18" s="70">
        <v>496.0</v>
      </c>
      <c r="P18" s="70">
        <v>503.0</v>
      </c>
      <c r="Q18" s="70">
        <v>480.0</v>
      </c>
      <c r="R18" s="70">
        <v>862.0</v>
      </c>
      <c r="S18" s="70">
        <v>806.0</v>
      </c>
      <c r="T18" s="70">
        <v>445.0</v>
      </c>
      <c r="U18" s="70">
        <v>620.0</v>
      </c>
      <c r="V18" s="70">
        <v>632.0</v>
      </c>
      <c r="W18" s="70">
        <v>392.0</v>
      </c>
      <c r="X18" s="71">
        <v>364.0</v>
      </c>
      <c r="Y18" s="70">
        <v>494.0</v>
      </c>
      <c r="Z18" s="70">
        <v>551.0</v>
      </c>
      <c r="AA18" s="72">
        <f t="shared" si="1"/>
        <v>6645</v>
      </c>
    </row>
    <row r="19">
      <c r="B19" s="175" t="s">
        <v>102</v>
      </c>
      <c r="C19" s="176">
        <v>44.0</v>
      </c>
      <c r="D19" s="163">
        <v>44.0</v>
      </c>
      <c r="E19" s="164">
        <v>0.0</v>
      </c>
      <c r="F19" s="177" t="s">
        <v>103</v>
      </c>
      <c r="G19" s="2"/>
      <c r="H19" s="3"/>
      <c r="I19" s="168">
        <v>1259.0</v>
      </c>
      <c r="J19" s="180">
        <v>1257.0</v>
      </c>
      <c r="K19" s="182">
        <v>2.0</v>
      </c>
      <c r="M19" s="73"/>
      <c r="N19" s="74" t="s">
        <v>40</v>
      </c>
      <c r="O19" s="70">
        <v>359.0</v>
      </c>
      <c r="P19" s="70">
        <v>341.0</v>
      </c>
      <c r="Q19" s="70">
        <v>401.0</v>
      </c>
      <c r="R19" s="70">
        <v>629.0</v>
      </c>
      <c r="S19" s="70">
        <v>596.0</v>
      </c>
      <c r="T19" s="70">
        <v>361.0</v>
      </c>
      <c r="U19" s="70">
        <v>506.0</v>
      </c>
      <c r="V19" s="70">
        <v>508.0</v>
      </c>
      <c r="W19" s="70">
        <v>289.0</v>
      </c>
      <c r="X19" s="71">
        <v>285.0</v>
      </c>
      <c r="Y19" s="70">
        <v>394.0</v>
      </c>
      <c r="Z19" s="70">
        <v>462.0</v>
      </c>
      <c r="AA19" s="72">
        <f t="shared" si="1"/>
        <v>5131</v>
      </c>
    </row>
    <row r="20">
      <c r="B20" s="175" t="s">
        <v>104</v>
      </c>
      <c r="C20" s="176">
        <v>778.0</v>
      </c>
      <c r="D20" s="163">
        <v>692.0</v>
      </c>
      <c r="E20" s="164">
        <v>86.0</v>
      </c>
      <c r="F20" s="177" t="s">
        <v>105</v>
      </c>
      <c r="G20" s="2"/>
      <c r="H20" s="3"/>
      <c r="I20" s="168">
        <v>74.0</v>
      </c>
      <c r="J20" s="169">
        <v>67.0</v>
      </c>
      <c r="K20" s="170">
        <v>7.0</v>
      </c>
      <c r="M20" s="73"/>
      <c r="N20" s="69" t="s">
        <v>42</v>
      </c>
      <c r="O20" s="70">
        <v>137.0</v>
      </c>
      <c r="P20" s="70">
        <v>162.0</v>
      </c>
      <c r="Q20" s="70">
        <v>79.0</v>
      </c>
      <c r="R20" s="70">
        <v>233.0</v>
      </c>
      <c r="S20" s="70">
        <v>210.0</v>
      </c>
      <c r="T20" s="70">
        <v>84.0</v>
      </c>
      <c r="U20" s="70">
        <v>114.0</v>
      </c>
      <c r="V20" s="70">
        <v>124.0</v>
      </c>
      <c r="W20" s="70">
        <v>103.0</v>
      </c>
      <c r="X20" s="71">
        <v>79.0</v>
      </c>
      <c r="Y20" s="70">
        <v>100.0</v>
      </c>
      <c r="Z20" s="77">
        <v>89.0</v>
      </c>
      <c r="AA20" s="72">
        <f t="shared" si="1"/>
        <v>1514</v>
      </c>
    </row>
    <row r="21">
      <c r="B21" s="175" t="s">
        <v>106</v>
      </c>
      <c r="C21" s="176">
        <v>7342.0</v>
      </c>
      <c r="D21" s="163">
        <v>7078.0</v>
      </c>
      <c r="E21" s="164">
        <v>264.0</v>
      </c>
      <c r="F21" s="177" t="s">
        <v>107</v>
      </c>
      <c r="G21" s="2"/>
      <c r="H21" s="3"/>
      <c r="I21" s="183">
        <v>11108.0</v>
      </c>
      <c r="J21" s="184">
        <v>11103.0</v>
      </c>
      <c r="K21" s="170">
        <v>41.0</v>
      </c>
      <c r="M21" s="172" t="s">
        <v>108</v>
      </c>
      <c r="N21" s="79" t="s">
        <v>4</v>
      </c>
      <c r="O21" s="80">
        <v>280.0</v>
      </c>
      <c r="P21" s="80">
        <v>216.0</v>
      </c>
      <c r="Q21" s="80">
        <v>194.0</v>
      </c>
      <c r="R21" s="80">
        <v>421.0</v>
      </c>
      <c r="S21" s="80">
        <v>446.0</v>
      </c>
      <c r="T21" s="80">
        <v>198.0</v>
      </c>
      <c r="U21" s="80">
        <v>364.0</v>
      </c>
      <c r="V21" s="80">
        <v>376.0</v>
      </c>
      <c r="W21" s="80">
        <v>256.0</v>
      </c>
      <c r="X21" s="81">
        <v>266.0</v>
      </c>
      <c r="Y21" s="80">
        <v>363.0</v>
      </c>
      <c r="Z21" s="80">
        <v>404.0</v>
      </c>
      <c r="AA21" s="82">
        <f t="shared" si="1"/>
        <v>3784</v>
      </c>
    </row>
    <row r="22">
      <c r="B22" s="175" t="s">
        <v>109</v>
      </c>
      <c r="C22" s="176">
        <v>1816.0</v>
      </c>
      <c r="D22" s="163">
        <v>1816.0</v>
      </c>
      <c r="E22" s="164">
        <v>0.0</v>
      </c>
      <c r="F22" s="177" t="s">
        <v>110</v>
      </c>
      <c r="G22" s="2"/>
      <c r="H22" s="3"/>
      <c r="I22" s="168">
        <v>15.0</v>
      </c>
      <c r="J22" s="169">
        <v>15.0</v>
      </c>
      <c r="K22" s="170">
        <v>0.0</v>
      </c>
      <c r="M22" s="73"/>
      <c r="N22" s="83" t="s">
        <v>40</v>
      </c>
      <c r="O22" s="80">
        <v>213.0</v>
      </c>
      <c r="P22" s="80">
        <v>173.0</v>
      </c>
      <c r="Q22" s="80">
        <v>183.0</v>
      </c>
      <c r="R22" s="80">
        <v>334.0</v>
      </c>
      <c r="S22" s="80">
        <v>378.0</v>
      </c>
      <c r="T22" s="80">
        <v>179.0</v>
      </c>
      <c r="U22" s="80">
        <v>312.0</v>
      </c>
      <c r="V22" s="80">
        <v>338.0</v>
      </c>
      <c r="W22" s="80">
        <v>223.0</v>
      </c>
      <c r="X22" s="81">
        <v>232.0</v>
      </c>
      <c r="Y22" s="80">
        <v>298.0</v>
      </c>
      <c r="Z22" s="80">
        <v>365.0</v>
      </c>
      <c r="AA22" s="82">
        <f t="shared" si="1"/>
        <v>3228</v>
      </c>
    </row>
    <row r="23">
      <c r="B23" s="175" t="s">
        <v>111</v>
      </c>
      <c r="C23" s="176">
        <v>3784.0</v>
      </c>
      <c r="D23" s="163">
        <v>3228.0</v>
      </c>
      <c r="E23" s="164">
        <v>556.0</v>
      </c>
      <c r="F23" s="177" t="s">
        <v>112</v>
      </c>
      <c r="G23" s="2"/>
      <c r="H23" s="3"/>
      <c r="I23" s="168">
        <v>77.0</v>
      </c>
      <c r="J23" s="169">
        <v>65.0</v>
      </c>
      <c r="K23" s="170">
        <v>12.0</v>
      </c>
      <c r="M23" s="73"/>
      <c r="N23" s="84" t="s">
        <v>42</v>
      </c>
      <c r="O23" s="80">
        <v>67.0</v>
      </c>
      <c r="P23" s="80">
        <v>43.0</v>
      </c>
      <c r="Q23" s="80">
        <v>11.0</v>
      </c>
      <c r="R23" s="80">
        <v>87.0</v>
      </c>
      <c r="S23" s="80">
        <v>68.0</v>
      </c>
      <c r="T23" s="80">
        <v>19.0</v>
      </c>
      <c r="U23" s="80">
        <v>52.0</v>
      </c>
      <c r="V23" s="80">
        <v>38.0</v>
      </c>
      <c r="W23" s="80">
        <v>33.0</v>
      </c>
      <c r="X23" s="81">
        <v>34.0</v>
      </c>
      <c r="Y23" s="80">
        <v>65.0</v>
      </c>
      <c r="Z23" s="80">
        <v>39.0</v>
      </c>
      <c r="AA23" s="82">
        <f t="shared" si="1"/>
        <v>556</v>
      </c>
    </row>
    <row r="24">
      <c r="B24" s="175" t="s">
        <v>113</v>
      </c>
      <c r="C24" s="176">
        <v>2241.0</v>
      </c>
      <c r="D24" s="163">
        <v>2241.0</v>
      </c>
      <c r="E24" s="164">
        <v>0.0</v>
      </c>
      <c r="F24" s="177" t="s">
        <v>114</v>
      </c>
      <c r="G24" s="2"/>
      <c r="H24" s="3"/>
      <c r="I24" s="168">
        <v>34.0</v>
      </c>
      <c r="J24" s="169">
        <v>34.0</v>
      </c>
      <c r="K24" s="170">
        <v>0.0</v>
      </c>
      <c r="M24" s="151" t="s">
        <v>115</v>
      </c>
      <c r="N24" s="68" t="s">
        <v>4</v>
      </c>
      <c r="O24" s="70">
        <v>582.0</v>
      </c>
      <c r="P24" s="70">
        <v>547.0</v>
      </c>
      <c r="Q24" s="70">
        <v>490.0</v>
      </c>
      <c r="R24" s="70">
        <v>909.0</v>
      </c>
      <c r="S24" s="70">
        <v>837.0</v>
      </c>
      <c r="T24" s="70">
        <v>427.0</v>
      </c>
      <c r="U24" s="70">
        <v>670.0</v>
      </c>
      <c r="V24" s="70">
        <v>704.0</v>
      </c>
      <c r="W24" s="70">
        <v>450.0</v>
      </c>
      <c r="X24" s="71">
        <v>517.0</v>
      </c>
      <c r="Y24" s="70">
        <v>637.0</v>
      </c>
      <c r="Z24" s="70">
        <v>572.0</v>
      </c>
      <c r="AA24" s="72">
        <f t="shared" si="1"/>
        <v>7342</v>
      </c>
    </row>
    <row r="25">
      <c r="B25" s="175" t="s">
        <v>116</v>
      </c>
      <c r="C25" s="176">
        <v>332.0</v>
      </c>
      <c r="D25" s="163">
        <v>312.0</v>
      </c>
      <c r="E25" s="164">
        <v>20.0</v>
      </c>
      <c r="F25" s="177" t="s">
        <v>117</v>
      </c>
      <c r="G25" s="2"/>
      <c r="H25" s="3"/>
      <c r="I25" s="168">
        <v>25.0</v>
      </c>
      <c r="J25" s="169">
        <v>20.0</v>
      </c>
      <c r="K25" s="170">
        <v>5.0</v>
      </c>
      <c r="M25" s="73"/>
      <c r="N25" s="74" t="s">
        <v>40</v>
      </c>
      <c r="O25" s="70">
        <v>570.0</v>
      </c>
      <c r="P25" s="70">
        <v>542.0</v>
      </c>
      <c r="Q25" s="70">
        <v>485.0</v>
      </c>
      <c r="R25" s="70">
        <v>867.0</v>
      </c>
      <c r="S25" s="70">
        <v>794.0</v>
      </c>
      <c r="T25" s="70">
        <v>412.0</v>
      </c>
      <c r="U25" s="70">
        <v>627.0</v>
      </c>
      <c r="V25" s="70">
        <v>652.0</v>
      </c>
      <c r="W25" s="70">
        <v>429.0</v>
      </c>
      <c r="X25" s="71">
        <v>502.0</v>
      </c>
      <c r="Y25" s="70">
        <v>634.0</v>
      </c>
      <c r="Z25" s="70">
        <v>564.0</v>
      </c>
      <c r="AA25" s="72">
        <f t="shared" si="1"/>
        <v>7078</v>
      </c>
    </row>
    <row r="26">
      <c r="B26" s="175" t="s">
        <v>118</v>
      </c>
      <c r="C26" s="176">
        <v>8305.0</v>
      </c>
      <c r="D26" s="163">
        <v>8165.0</v>
      </c>
      <c r="E26" s="164">
        <v>140.0</v>
      </c>
      <c r="F26" s="177" t="s">
        <v>119</v>
      </c>
      <c r="G26" s="2"/>
      <c r="H26" s="3"/>
      <c r="I26" s="168">
        <v>121.0</v>
      </c>
      <c r="J26" s="169">
        <v>115.0</v>
      </c>
      <c r="K26" s="170">
        <v>4.0</v>
      </c>
      <c r="M26" s="73"/>
      <c r="N26" s="69" t="s">
        <v>42</v>
      </c>
      <c r="O26" s="70">
        <v>12.0</v>
      </c>
      <c r="P26" s="70">
        <v>5.0</v>
      </c>
      <c r="Q26" s="70">
        <v>5.0</v>
      </c>
      <c r="R26" s="70">
        <v>42.0</v>
      </c>
      <c r="S26" s="70">
        <v>43.0</v>
      </c>
      <c r="T26" s="70">
        <v>15.0</v>
      </c>
      <c r="U26" s="70">
        <v>43.0</v>
      </c>
      <c r="V26" s="70">
        <v>52.0</v>
      </c>
      <c r="W26" s="70">
        <v>21.0</v>
      </c>
      <c r="X26" s="71">
        <v>15.0</v>
      </c>
      <c r="Y26" s="70">
        <v>3.0</v>
      </c>
      <c r="Z26" s="77">
        <v>8.0</v>
      </c>
      <c r="AA26" s="72">
        <f t="shared" si="1"/>
        <v>264</v>
      </c>
    </row>
    <row r="27">
      <c r="B27" s="175" t="s">
        <v>120</v>
      </c>
      <c r="C27" s="176">
        <v>7250.0</v>
      </c>
      <c r="D27" s="163">
        <v>6388.0</v>
      </c>
      <c r="E27" s="164">
        <v>862.0</v>
      </c>
      <c r="F27" s="185" t="s">
        <v>121</v>
      </c>
      <c r="G27" s="186"/>
      <c r="H27" s="187"/>
      <c r="I27" s="183">
        <v>19498.0</v>
      </c>
      <c r="J27" s="169">
        <v>19295.0</v>
      </c>
      <c r="K27" s="170">
        <v>203.0</v>
      </c>
      <c r="M27" s="172" t="s">
        <v>122</v>
      </c>
      <c r="N27" s="79" t="s">
        <v>4</v>
      </c>
      <c r="O27" s="80">
        <v>100.0</v>
      </c>
      <c r="P27" s="80">
        <v>126.0</v>
      </c>
      <c r="Q27" s="80">
        <v>64.0</v>
      </c>
      <c r="R27" s="80">
        <v>108.0</v>
      </c>
      <c r="S27" s="80">
        <v>142.0</v>
      </c>
      <c r="T27" s="80">
        <v>53.0</v>
      </c>
      <c r="U27" s="80">
        <v>110.0</v>
      </c>
      <c r="V27" s="80">
        <v>112.0</v>
      </c>
      <c r="W27" s="80">
        <v>66.0</v>
      </c>
      <c r="X27" s="81">
        <v>62.0</v>
      </c>
      <c r="Y27" s="80">
        <v>190.0</v>
      </c>
      <c r="Z27" s="80">
        <v>207.0</v>
      </c>
      <c r="AA27" s="82">
        <f t="shared" si="1"/>
        <v>1340</v>
      </c>
    </row>
    <row r="28">
      <c r="B28" s="175" t="s">
        <v>123</v>
      </c>
      <c r="C28" s="176">
        <v>150.0</v>
      </c>
      <c r="D28" s="163">
        <v>150.0</v>
      </c>
      <c r="E28" s="164">
        <v>0.0</v>
      </c>
      <c r="F28" s="185" t="s">
        <v>124</v>
      </c>
      <c r="G28" s="186"/>
      <c r="H28" s="187"/>
      <c r="I28" s="168">
        <v>25.0</v>
      </c>
      <c r="J28" s="169">
        <v>25.0</v>
      </c>
      <c r="K28" s="170">
        <v>0.0</v>
      </c>
      <c r="M28" s="73"/>
      <c r="N28" s="83" t="s">
        <v>40</v>
      </c>
      <c r="O28" s="80">
        <v>100.0</v>
      </c>
      <c r="P28" s="80">
        <v>126.0</v>
      </c>
      <c r="Q28" s="80">
        <v>61.0</v>
      </c>
      <c r="R28" s="80">
        <v>105.0</v>
      </c>
      <c r="S28" s="80">
        <v>140.0</v>
      </c>
      <c r="T28" s="80">
        <v>51.0</v>
      </c>
      <c r="U28" s="80">
        <v>104.0</v>
      </c>
      <c r="V28" s="80">
        <v>103.0</v>
      </c>
      <c r="W28" s="80">
        <v>66.0</v>
      </c>
      <c r="X28" s="81">
        <v>58.0</v>
      </c>
      <c r="Y28" s="80">
        <v>189.0</v>
      </c>
      <c r="Z28" s="80">
        <v>204.0</v>
      </c>
      <c r="AA28" s="82">
        <f t="shared" si="1"/>
        <v>1307</v>
      </c>
    </row>
    <row r="29">
      <c r="B29" s="188" t="s">
        <v>125</v>
      </c>
      <c r="C29" s="176">
        <v>4561.0</v>
      </c>
      <c r="D29" s="163">
        <v>3825.0</v>
      </c>
      <c r="E29" s="170">
        <v>736.0</v>
      </c>
      <c r="F29" s="189" t="s">
        <v>126</v>
      </c>
      <c r="G29" s="190"/>
      <c r="H29" s="191"/>
      <c r="I29" s="168">
        <v>21.0</v>
      </c>
      <c r="J29" s="169">
        <v>21.0</v>
      </c>
      <c r="K29" s="170">
        <v>0.0</v>
      </c>
      <c r="M29" s="73"/>
      <c r="N29" s="84" t="s">
        <v>42</v>
      </c>
      <c r="O29" s="80">
        <v>0.0</v>
      </c>
      <c r="P29" s="80">
        <v>0.0</v>
      </c>
      <c r="Q29" s="80">
        <v>3.0</v>
      </c>
      <c r="R29" s="80">
        <v>3.0</v>
      </c>
      <c r="S29" s="80">
        <v>2.0</v>
      </c>
      <c r="T29" s="80">
        <v>2.0</v>
      </c>
      <c r="U29" s="80">
        <v>6.0</v>
      </c>
      <c r="V29" s="80">
        <v>9.0</v>
      </c>
      <c r="W29" s="80">
        <v>0.0</v>
      </c>
      <c r="X29" s="81">
        <v>4.0</v>
      </c>
      <c r="Y29" s="80">
        <v>1.0</v>
      </c>
      <c r="Z29" s="80">
        <v>3.0</v>
      </c>
      <c r="AA29" s="82">
        <f t="shared" si="1"/>
        <v>33</v>
      </c>
    </row>
    <row r="30">
      <c r="B30" s="32" t="s">
        <v>4</v>
      </c>
      <c r="C30" s="32">
        <f t="shared" ref="C30:E30" si="2">SUM(C15:C29)</f>
        <v>46309</v>
      </c>
      <c r="D30" s="153">
        <f t="shared" si="2"/>
        <v>42098</v>
      </c>
      <c r="E30" s="192">
        <f t="shared" si="2"/>
        <v>4211</v>
      </c>
      <c r="F30" s="152" t="s">
        <v>4</v>
      </c>
      <c r="G30" s="40"/>
      <c r="H30" s="41"/>
      <c r="I30" s="193">
        <f t="shared" ref="I30:K30" si="3">SUM(I15:I29)</f>
        <v>500535</v>
      </c>
      <c r="J30" s="194">
        <f t="shared" si="3"/>
        <v>499206</v>
      </c>
      <c r="K30" s="192">
        <f t="shared" si="3"/>
        <v>763</v>
      </c>
      <c r="M30" s="151" t="s">
        <v>127</v>
      </c>
      <c r="N30" s="68" t="s">
        <v>4</v>
      </c>
      <c r="O30" s="70">
        <v>611.0</v>
      </c>
      <c r="P30" s="70">
        <v>514.0</v>
      </c>
      <c r="Q30" s="70">
        <v>577.0</v>
      </c>
      <c r="R30" s="70">
        <v>1065.0</v>
      </c>
      <c r="S30" s="70">
        <v>999.0</v>
      </c>
      <c r="T30" s="70">
        <v>562.0</v>
      </c>
      <c r="U30" s="70">
        <v>866.0</v>
      </c>
      <c r="V30" s="70">
        <v>870.0</v>
      </c>
      <c r="W30" s="70">
        <v>495.0</v>
      </c>
      <c r="X30" s="71">
        <v>509.0</v>
      </c>
      <c r="Y30" s="70">
        <v>648.0</v>
      </c>
      <c r="Z30" s="70">
        <v>589.0</v>
      </c>
      <c r="AA30" s="72">
        <f t="shared" si="1"/>
        <v>8305</v>
      </c>
    </row>
    <row r="31">
      <c r="M31" s="73"/>
      <c r="N31" s="74" t="s">
        <v>40</v>
      </c>
      <c r="O31" s="70">
        <v>609.0</v>
      </c>
      <c r="P31" s="70">
        <v>512.0</v>
      </c>
      <c r="Q31" s="70">
        <v>566.0</v>
      </c>
      <c r="R31" s="70">
        <v>1032.0</v>
      </c>
      <c r="S31" s="70">
        <v>984.0</v>
      </c>
      <c r="T31" s="70">
        <v>555.0</v>
      </c>
      <c r="U31" s="70">
        <v>837.0</v>
      </c>
      <c r="V31" s="70">
        <v>849.0</v>
      </c>
      <c r="W31" s="70">
        <v>488.0</v>
      </c>
      <c r="X31" s="71">
        <v>496.0</v>
      </c>
      <c r="Y31" s="70">
        <v>648.0</v>
      </c>
      <c r="Z31" s="70">
        <v>589.0</v>
      </c>
      <c r="AA31" s="72">
        <f t="shared" si="1"/>
        <v>8165</v>
      </c>
    </row>
    <row r="32">
      <c r="M32" s="73"/>
      <c r="N32" s="69" t="s">
        <v>42</v>
      </c>
      <c r="O32" s="70">
        <v>2.0</v>
      </c>
      <c r="P32" s="70">
        <v>2.0</v>
      </c>
      <c r="Q32" s="70">
        <v>11.0</v>
      </c>
      <c r="R32" s="70">
        <v>33.0</v>
      </c>
      <c r="S32" s="70">
        <v>15.0</v>
      </c>
      <c r="T32" s="70">
        <v>7.0</v>
      </c>
      <c r="U32" s="70">
        <v>29.0</v>
      </c>
      <c r="V32" s="70">
        <v>21.0</v>
      </c>
      <c r="W32" s="70">
        <v>7.0</v>
      </c>
      <c r="X32" s="71">
        <v>13.0</v>
      </c>
      <c r="Y32" s="70">
        <v>0.0</v>
      </c>
      <c r="Z32" s="77">
        <v>0.0</v>
      </c>
      <c r="AA32" s="72">
        <f t="shared" si="1"/>
        <v>140</v>
      </c>
    </row>
    <row r="33">
      <c r="M33" s="172" t="s">
        <v>128</v>
      </c>
      <c r="N33" s="79" t="s">
        <v>4</v>
      </c>
      <c r="O33" s="80">
        <v>329.0</v>
      </c>
      <c r="P33" s="80">
        <v>207.0</v>
      </c>
      <c r="Q33" s="80">
        <v>266.0</v>
      </c>
      <c r="R33" s="80">
        <v>474.0</v>
      </c>
      <c r="S33" s="80">
        <v>431.0</v>
      </c>
      <c r="T33" s="80">
        <v>222.0</v>
      </c>
      <c r="U33" s="80">
        <v>540.0</v>
      </c>
      <c r="V33" s="80">
        <v>466.0</v>
      </c>
      <c r="W33" s="80">
        <v>372.0</v>
      </c>
      <c r="X33" s="81">
        <v>413.0</v>
      </c>
      <c r="Y33" s="80">
        <v>434.0</v>
      </c>
      <c r="Z33" s="80">
        <v>407.0</v>
      </c>
      <c r="AA33" s="82">
        <f t="shared" si="1"/>
        <v>4561</v>
      </c>
    </row>
    <row r="34">
      <c r="M34" s="73"/>
      <c r="N34" s="83" t="s">
        <v>40</v>
      </c>
      <c r="O34" s="80">
        <v>270.0</v>
      </c>
      <c r="P34" s="80">
        <v>164.0</v>
      </c>
      <c r="Q34" s="80">
        <v>242.0</v>
      </c>
      <c r="R34" s="80">
        <v>403.0</v>
      </c>
      <c r="S34" s="80">
        <v>364.0</v>
      </c>
      <c r="T34" s="80">
        <v>198.0</v>
      </c>
      <c r="U34" s="80">
        <v>456.0</v>
      </c>
      <c r="V34" s="80">
        <v>399.0</v>
      </c>
      <c r="W34" s="80">
        <v>313.0</v>
      </c>
      <c r="X34" s="81">
        <v>341.0</v>
      </c>
      <c r="Y34" s="80">
        <v>347.0</v>
      </c>
      <c r="Z34" s="80">
        <v>328.0</v>
      </c>
      <c r="AA34" s="82">
        <f t="shared" si="1"/>
        <v>3825</v>
      </c>
    </row>
    <row r="35">
      <c r="M35" s="73"/>
      <c r="N35" s="84" t="s">
        <v>42</v>
      </c>
      <c r="O35" s="80">
        <v>59.0</v>
      </c>
      <c r="P35" s="80">
        <v>43.0</v>
      </c>
      <c r="Q35" s="80">
        <v>24.0</v>
      </c>
      <c r="R35" s="80">
        <v>71.0</v>
      </c>
      <c r="S35" s="80">
        <v>67.0</v>
      </c>
      <c r="T35" s="80">
        <v>24.0</v>
      </c>
      <c r="U35" s="80">
        <v>84.0</v>
      </c>
      <c r="V35" s="80">
        <v>67.0</v>
      </c>
      <c r="W35" s="80">
        <v>59.0</v>
      </c>
      <c r="X35" s="81">
        <v>72.0</v>
      </c>
      <c r="Y35" s="80">
        <v>87.0</v>
      </c>
      <c r="Z35" s="80">
        <v>79.0</v>
      </c>
      <c r="AA35" s="82">
        <f t="shared" si="1"/>
        <v>736</v>
      </c>
    </row>
    <row r="36">
      <c r="M36" s="151" t="s">
        <v>129</v>
      </c>
      <c r="N36" s="68" t="s">
        <v>4</v>
      </c>
      <c r="O36" s="70">
        <v>30.0</v>
      </c>
      <c r="P36" s="70">
        <v>26.0</v>
      </c>
      <c r="Q36" s="70">
        <v>16.0</v>
      </c>
      <c r="R36" s="70">
        <v>37.0</v>
      </c>
      <c r="S36" s="70">
        <v>27.0</v>
      </c>
      <c r="T36" s="70">
        <v>17.0</v>
      </c>
      <c r="U36" s="70">
        <v>46.0</v>
      </c>
      <c r="V36" s="70">
        <v>14.0</v>
      </c>
      <c r="W36" s="70">
        <v>22.0</v>
      </c>
      <c r="X36" s="71">
        <v>60.0</v>
      </c>
      <c r="Y36" s="70">
        <v>13.0</v>
      </c>
      <c r="Z36" s="70">
        <v>24.0</v>
      </c>
      <c r="AA36" s="72">
        <f t="shared" si="1"/>
        <v>332</v>
      </c>
    </row>
    <row r="37">
      <c r="M37" s="73"/>
      <c r="N37" s="74" t="s">
        <v>40</v>
      </c>
      <c r="O37" s="70">
        <v>30.0</v>
      </c>
      <c r="P37" s="70">
        <v>23.0</v>
      </c>
      <c r="Q37" s="70">
        <v>16.0</v>
      </c>
      <c r="R37" s="70">
        <v>33.0</v>
      </c>
      <c r="S37" s="70">
        <v>26.0</v>
      </c>
      <c r="T37" s="70">
        <v>16.0</v>
      </c>
      <c r="U37" s="70">
        <v>45.0</v>
      </c>
      <c r="V37" s="70">
        <v>14.0</v>
      </c>
      <c r="W37" s="70">
        <v>20.0</v>
      </c>
      <c r="X37" s="71">
        <v>56.0</v>
      </c>
      <c r="Y37" s="70">
        <v>11.0</v>
      </c>
      <c r="Z37" s="70">
        <v>22.0</v>
      </c>
      <c r="AA37" s="72">
        <f t="shared" si="1"/>
        <v>312</v>
      </c>
    </row>
    <row r="38">
      <c r="M38" s="73"/>
      <c r="N38" s="69" t="s">
        <v>42</v>
      </c>
      <c r="O38" s="70">
        <v>0.0</v>
      </c>
      <c r="P38" s="70">
        <v>3.0</v>
      </c>
      <c r="Q38" s="70">
        <v>0.0</v>
      </c>
      <c r="R38" s="70">
        <v>4.0</v>
      </c>
      <c r="S38" s="70">
        <v>1.0</v>
      </c>
      <c r="T38" s="70">
        <v>1.0</v>
      </c>
      <c r="U38" s="70">
        <v>1.0</v>
      </c>
      <c r="V38" s="70">
        <v>0.0</v>
      </c>
      <c r="W38" s="70">
        <v>2.0</v>
      </c>
      <c r="X38" s="71">
        <v>4.0</v>
      </c>
      <c r="Y38" s="70">
        <v>2.0</v>
      </c>
      <c r="Z38" s="77">
        <v>2.0</v>
      </c>
      <c r="AA38" s="72">
        <f t="shared" si="1"/>
        <v>20</v>
      </c>
    </row>
    <row r="39">
      <c r="M39" s="172" t="s">
        <v>130</v>
      </c>
      <c r="N39" s="79" t="s">
        <v>4</v>
      </c>
      <c r="O39" s="80">
        <v>219.0</v>
      </c>
      <c r="P39" s="80">
        <v>160.0</v>
      </c>
      <c r="Q39" s="80">
        <v>156.0</v>
      </c>
      <c r="R39" s="80">
        <v>260.0</v>
      </c>
      <c r="S39" s="195"/>
      <c r="T39" s="80">
        <v>138.0</v>
      </c>
      <c r="U39" s="80">
        <v>353.0</v>
      </c>
      <c r="V39" s="80">
        <v>261.0</v>
      </c>
      <c r="W39" s="80">
        <v>149.0</v>
      </c>
      <c r="X39" s="81">
        <v>213.0</v>
      </c>
      <c r="Y39" s="80">
        <v>170.0</v>
      </c>
      <c r="Z39" s="80">
        <v>162.0</v>
      </c>
      <c r="AA39" s="82">
        <f t="shared" si="1"/>
        <v>2241</v>
      </c>
    </row>
    <row r="40">
      <c r="M40" s="73"/>
      <c r="N40" s="83" t="s">
        <v>40</v>
      </c>
      <c r="O40" s="80">
        <v>219.0</v>
      </c>
      <c r="P40" s="80">
        <v>160.0</v>
      </c>
      <c r="Q40" s="80">
        <v>156.0</v>
      </c>
      <c r="R40" s="80">
        <v>260.0</v>
      </c>
      <c r="S40" s="195"/>
      <c r="T40" s="80">
        <v>138.0</v>
      </c>
      <c r="U40" s="80">
        <v>353.0</v>
      </c>
      <c r="V40" s="80">
        <v>261.0</v>
      </c>
      <c r="W40" s="80">
        <v>149.0</v>
      </c>
      <c r="X40" s="81">
        <v>213.0</v>
      </c>
      <c r="Y40" s="80">
        <v>170.0</v>
      </c>
      <c r="Z40" s="80">
        <v>162.0</v>
      </c>
      <c r="AA40" s="82">
        <f t="shared" si="1"/>
        <v>2241</v>
      </c>
    </row>
    <row r="41">
      <c r="M41" s="73"/>
      <c r="N41" s="84" t="s">
        <v>42</v>
      </c>
      <c r="O41" s="80">
        <v>0.0</v>
      </c>
      <c r="P41" s="80">
        <v>0.0</v>
      </c>
      <c r="Q41" s="80">
        <v>0.0</v>
      </c>
      <c r="R41" s="80">
        <v>0.0</v>
      </c>
      <c r="S41" s="195"/>
      <c r="T41" s="80">
        <v>0.0</v>
      </c>
      <c r="U41" s="80">
        <v>0.0</v>
      </c>
      <c r="V41" s="80">
        <v>0.0</v>
      </c>
      <c r="W41" s="80">
        <v>0.0</v>
      </c>
      <c r="X41" s="81">
        <v>0.0</v>
      </c>
      <c r="Y41" s="80">
        <v>0.0</v>
      </c>
      <c r="Z41" s="80">
        <v>0.0</v>
      </c>
      <c r="AA41" s="82">
        <f t="shared" si="1"/>
        <v>0</v>
      </c>
    </row>
    <row r="42">
      <c r="M42" s="151" t="s">
        <v>131</v>
      </c>
      <c r="N42" s="68" t="s">
        <v>4</v>
      </c>
      <c r="O42" s="70">
        <v>43.0</v>
      </c>
      <c r="P42" s="70">
        <v>33.0</v>
      </c>
      <c r="Q42" s="70">
        <v>34.0</v>
      </c>
      <c r="R42" s="70">
        <v>44.0</v>
      </c>
      <c r="S42" s="72"/>
      <c r="T42" s="70">
        <v>31.0</v>
      </c>
      <c r="U42" s="70">
        <v>44.0</v>
      </c>
      <c r="V42" s="70">
        <v>29.0</v>
      </c>
      <c r="W42" s="70">
        <v>31.0</v>
      </c>
      <c r="X42" s="71">
        <v>27.0</v>
      </c>
      <c r="Y42" s="70">
        <v>34.0</v>
      </c>
      <c r="Z42" s="70">
        <v>15.0</v>
      </c>
      <c r="AA42" s="72">
        <f t="shared" si="1"/>
        <v>365</v>
      </c>
    </row>
    <row r="43">
      <c r="M43" s="73"/>
      <c r="N43" s="74" t="s">
        <v>40</v>
      </c>
      <c r="O43" s="70">
        <v>43.0</v>
      </c>
      <c r="P43" s="70">
        <v>33.0</v>
      </c>
      <c r="Q43" s="70">
        <v>34.0</v>
      </c>
      <c r="R43" s="70">
        <v>44.0</v>
      </c>
      <c r="S43" s="72"/>
      <c r="T43" s="70">
        <v>31.0</v>
      </c>
      <c r="U43" s="70">
        <v>44.0</v>
      </c>
      <c r="V43" s="70">
        <v>29.0</v>
      </c>
      <c r="W43" s="70">
        <v>31.0</v>
      </c>
      <c r="X43" s="71">
        <v>27.0</v>
      </c>
      <c r="Y43" s="70">
        <v>34.0</v>
      </c>
      <c r="Z43" s="70">
        <v>15.0</v>
      </c>
      <c r="AA43" s="72">
        <f t="shared" si="1"/>
        <v>365</v>
      </c>
    </row>
    <row r="44">
      <c r="M44" s="73"/>
      <c r="N44" s="69" t="s">
        <v>42</v>
      </c>
      <c r="O44" s="70">
        <v>0.0</v>
      </c>
      <c r="P44" s="70">
        <v>0.0</v>
      </c>
      <c r="Q44" s="70">
        <v>0.0</v>
      </c>
      <c r="R44" s="70">
        <v>0.0</v>
      </c>
      <c r="S44" s="72"/>
      <c r="T44" s="70">
        <v>0.0</v>
      </c>
      <c r="U44" s="70">
        <v>0.0</v>
      </c>
      <c r="V44" s="70">
        <v>0.0</v>
      </c>
      <c r="W44" s="70">
        <v>0.0</v>
      </c>
      <c r="X44" s="71">
        <v>0.0</v>
      </c>
      <c r="Y44" s="70">
        <v>0.0</v>
      </c>
      <c r="Z44" s="77">
        <v>0.0</v>
      </c>
      <c r="AA44" s="72">
        <f t="shared" si="1"/>
        <v>0</v>
      </c>
    </row>
    <row r="45">
      <c r="M45" s="78" t="s">
        <v>132</v>
      </c>
      <c r="N45" s="79" t="s">
        <v>4</v>
      </c>
      <c r="O45" s="80">
        <v>0.0</v>
      </c>
      <c r="P45" s="80">
        <v>44.0</v>
      </c>
      <c r="Q45" s="80">
        <v>0.0</v>
      </c>
      <c r="R45" s="80">
        <v>0.0</v>
      </c>
      <c r="S45" s="195"/>
      <c r="T45" s="80">
        <v>0.0</v>
      </c>
      <c r="U45" s="80">
        <v>0.0</v>
      </c>
      <c r="V45" s="80">
        <v>0.0</v>
      </c>
      <c r="W45" s="80">
        <v>0.0</v>
      </c>
      <c r="X45" s="81">
        <v>0.0</v>
      </c>
      <c r="Y45" s="80">
        <v>0.0</v>
      </c>
      <c r="Z45" s="80">
        <v>0.0</v>
      </c>
      <c r="AA45" s="82">
        <f t="shared" si="1"/>
        <v>44</v>
      </c>
    </row>
    <row r="46">
      <c r="M46" s="73"/>
      <c r="N46" s="83" t="s">
        <v>40</v>
      </c>
      <c r="O46" s="80">
        <v>0.0</v>
      </c>
      <c r="P46" s="80">
        <v>44.0</v>
      </c>
      <c r="Q46" s="80">
        <v>0.0</v>
      </c>
      <c r="R46" s="80">
        <v>0.0</v>
      </c>
      <c r="S46" s="195"/>
      <c r="T46" s="80">
        <v>0.0</v>
      </c>
      <c r="U46" s="80">
        <v>0.0</v>
      </c>
      <c r="V46" s="80">
        <v>0.0</v>
      </c>
      <c r="W46" s="80">
        <v>0.0</v>
      </c>
      <c r="X46" s="81">
        <v>0.0</v>
      </c>
      <c r="Y46" s="80">
        <v>0.0</v>
      </c>
      <c r="Z46" s="80">
        <v>0.0</v>
      </c>
      <c r="AA46" s="82">
        <f t="shared" si="1"/>
        <v>44</v>
      </c>
    </row>
    <row r="47">
      <c r="M47" s="73"/>
      <c r="N47" s="84" t="s">
        <v>42</v>
      </c>
      <c r="O47" s="80">
        <v>0.0</v>
      </c>
      <c r="P47" s="80">
        <v>0.0</v>
      </c>
      <c r="Q47" s="80">
        <v>0.0</v>
      </c>
      <c r="R47" s="80">
        <v>0.0</v>
      </c>
      <c r="S47" s="195"/>
      <c r="T47" s="80">
        <v>0.0</v>
      </c>
      <c r="U47" s="80">
        <v>0.0</v>
      </c>
      <c r="V47" s="80">
        <v>0.0</v>
      </c>
      <c r="W47" s="80">
        <v>0.0</v>
      </c>
      <c r="X47" s="81">
        <v>0.0</v>
      </c>
      <c r="Y47" s="80">
        <v>0.0</v>
      </c>
      <c r="Z47" s="80">
        <v>0.0</v>
      </c>
      <c r="AA47" s="82">
        <f t="shared" si="1"/>
        <v>0</v>
      </c>
    </row>
    <row r="48">
      <c r="M48" s="67" t="s">
        <v>133</v>
      </c>
      <c r="N48" s="68" t="s">
        <v>4</v>
      </c>
      <c r="O48" s="70">
        <v>147.0</v>
      </c>
      <c r="P48" s="70">
        <v>51.0</v>
      </c>
      <c r="Q48" s="70">
        <v>114.0</v>
      </c>
      <c r="R48" s="70">
        <v>231.0</v>
      </c>
      <c r="S48" s="72"/>
      <c r="T48" s="70">
        <v>82.0</v>
      </c>
      <c r="U48" s="70">
        <v>174.0</v>
      </c>
      <c r="V48" s="70">
        <v>236.0</v>
      </c>
      <c r="W48" s="70">
        <v>164.0</v>
      </c>
      <c r="X48" s="71">
        <v>97.0</v>
      </c>
      <c r="Y48" s="70">
        <v>30.0</v>
      </c>
      <c r="Z48" s="70">
        <v>30.0</v>
      </c>
      <c r="AA48" s="72">
        <f t="shared" si="1"/>
        <v>1356</v>
      </c>
    </row>
    <row r="49">
      <c r="M49" s="73"/>
      <c r="N49" s="74" t="s">
        <v>40</v>
      </c>
      <c r="O49" s="70">
        <v>147.0</v>
      </c>
      <c r="P49" s="70">
        <v>51.0</v>
      </c>
      <c r="Q49" s="70">
        <v>114.0</v>
      </c>
      <c r="R49" s="70">
        <v>231.0</v>
      </c>
      <c r="S49" s="72"/>
      <c r="T49" s="70">
        <v>82.0</v>
      </c>
      <c r="U49" s="70">
        <v>174.0</v>
      </c>
      <c r="V49" s="70">
        <v>236.0</v>
      </c>
      <c r="W49" s="70">
        <v>164.0</v>
      </c>
      <c r="X49" s="71">
        <v>97.0</v>
      </c>
      <c r="Y49" s="70">
        <v>30.0</v>
      </c>
      <c r="Z49" s="70">
        <v>30.0</v>
      </c>
      <c r="AA49" s="72">
        <f t="shared" si="1"/>
        <v>1356</v>
      </c>
    </row>
    <row r="50">
      <c r="M50" s="73"/>
      <c r="N50" s="69" t="s">
        <v>42</v>
      </c>
      <c r="O50" s="70">
        <v>0.0</v>
      </c>
      <c r="P50" s="70">
        <v>0.0</v>
      </c>
      <c r="Q50" s="70">
        <v>0.0</v>
      </c>
      <c r="R50" s="70">
        <v>0.0</v>
      </c>
      <c r="S50" s="72"/>
      <c r="T50" s="70">
        <v>0.0</v>
      </c>
      <c r="U50" s="70">
        <v>0.0</v>
      </c>
      <c r="V50" s="70">
        <v>0.0</v>
      </c>
      <c r="W50" s="70">
        <v>0.0</v>
      </c>
      <c r="X50" s="71">
        <v>0.0</v>
      </c>
      <c r="Y50" s="70">
        <v>0.0</v>
      </c>
      <c r="Z50" s="77">
        <v>0.0</v>
      </c>
      <c r="AA50" s="72">
        <f t="shared" si="1"/>
        <v>0</v>
      </c>
    </row>
    <row r="51">
      <c r="M51" s="78" t="s">
        <v>134</v>
      </c>
      <c r="N51" s="79" t="s">
        <v>4</v>
      </c>
      <c r="O51" s="80">
        <v>8.0</v>
      </c>
      <c r="P51" s="80">
        <v>26.0</v>
      </c>
      <c r="Q51" s="80">
        <v>16.0</v>
      </c>
      <c r="R51" s="80">
        <v>37.0</v>
      </c>
      <c r="S51" s="195"/>
      <c r="T51" s="80">
        <v>22.0</v>
      </c>
      <c r="U51" s="80">
        <v>46.0</v>
      </c>
      <c r="V51" s="80">
        <v>16.0</v>
      </c>
      <c r="W51" s="80">
        <v>2.0</v>
      </c>
      <c r="X51" s="81">
        <v>0.0</v>
      </c>
      <c r="Y51" s="80">
        <v>0.0</v>
      </c>
      <c r="Z51" s="80">
        <v>0.0</v>
      </c>
      <c r="AA51" s="82">
        <f t="shared" si="1"/>
        <v>173</v>
      </c>
    </row>
    <row r="52">
      <c r="M52" s="73"/>
      <c r="N52" s="83" t="s">
        <v>40</v>
      </c>
      <c r="O52" s="80">
        <v>8.0</v>
      </c>
      <c r="P52" s="80">
        <v>26.0</v>
      </c>
      <c r="Q52" s="80">
        <v>16.0</v>
      </c>
      <c r="R52" s="80">
        <v>37.0</v>
      </c>
      <c r="S52" s="195"/>
      <c r="T52" s="80">
        <v>22.0</v>
      </c>
      <c r="U52" s="80">
        <v>46.0</v>
      </c>
      <c r="V52" s="80">
        <v>16.0</v>
      </c>
      <c r="W52" s="80">
        <v>2.0</v>
      </c>
      <c r="X52" s="81">
        <v>0.0</v>
      </c>
      <c r="Y52" s="80">
        <v>0.0</v>
      </c>
      <c r="Z52" s="80">
        <v>0.0</v>
      </c>
      <c r="AA52" s="82">
        <f t="shared" si="1"/>
        <v>173</v>
      </c>
    </row>
    <row r="53">
      <c r="M53" s="73"/>
      <c r="N53" s="84" t="s">
        <v>42</v>
      </c>
      <c r="O53" s="80">
        <v>0.0</v>
      </c>
      <c r="P53" s="80">
        <v>0.0</v>
      </c>
      <c r="Q53" s="80">
        <v>0.0</v>
      </c>
      <c r="R53" s="80">
        <v>0.0</v>
      </c>
      <c r="S53" s="195"/>
      <c r="T53" s="80">
        <v>0.0</v>
      </c>
      <c r="U53" s="80">
        <v>0.0</v>
      </c>
      <c r="V53" s="80">
        <v>0.0</v>
      </c>
      <c r="W53" s="80">
        <v>0.0</v>
      </c>
      <c r="X53" s="81">
        <v>0.0</v>
      </c>
      <c r="Y53" s="80">
        <v>0.0</v>
      </c>
      <c r="Z53" s="80">
        <v>0.0</v>
      </c>
      <c r="AA53" s="82">
        <f t="shared" si="1"/>
        <v>0</v>
      </c>
    </row>
    <row r="54">
      <c r="M54" s="67" t="s">
        <v>135</v>
      </c>
      <c r="N54" s="68" t="s">
        <v>4</v>
      </c>
      <c r="O54" s="70">
        <v>37.0</v>
      </c>
      <c r="P54" s="70">
        <v>76.0</v>
      </c>
      <c r="Q54" s="70">
        <v>1.0</v>
      </c>
      <c r="R54" s="70">
        <v>3.0</v>
      </c>
      <c r="S54" s="72"/>
      <c r="T54" s="70">
        <v>0.0</v>
      </c>
      <c r="U54" s="70">
        <v>17.0</v>
      </c>
      <c r="V54" s="70">
        <v>2.0</v>
      </c>
      <c r="W54" s="70">
        <v>4.0</v>
      </c>
      <c r="X54" s="71">
        <v>4.0</v>
      </c>
      <c r="Y54" s="70">
        <v>6.0</v>
      </c>
      <c r="Z54" s="70">
        <v>0.0</v>
      </c>
      <c r="AA54" s="72">
        <f t="shared" si="1"/>
        <v>150</v>
      </c>
    </row>
    <row r="55">
      <c r="M55" s="73"/>
      <c r="N55" s="74" t="s">
        <v>40</v>
      </c>
      <c r="O55" s="70">
        <v>37.0</v>
      </c>
      <c r="P55" s="70">
        <v>76.0</v>
      </c>
      <c r="Q55" s="70">
        <v>1.0</v>
      </c>
      <c r="R55" s="70">
        <v>3.0</v>
      </c>
      <c r="S55" s="72"/>
      <c r="T55" s="70">
        <v>0.0</v>
      </c>
      <c r="U55" s="70">
        <v>17.0</v>
      </c>
      <c r="V55" s="70">
        <v>2.0</v>
      </c>
      <c r="W55" s="70">
        <v>4.0</v>
      </c>
      <c r="X55" s="71">
        <v>4.0</v>
      </c>
      <c r="Y55" s="70">
        <v>6.0</v>
      </c>
      <c r="Z55" s="70">
        <v>0.0</v>
      </c>
      <c r="AA55" s="72">
        <f t="shared" si="1"/>
        <v>150</v>
      </c>
    </row>
    <row r="56">
      <c r="M56" s="73"/>
      <c r="N56" s="69" t="s">
        <v>42</v>
      </c>
      <c r="O56" s="70">
        <v>0.0</v>
      </c>
      <c r="P56" s="70">
        <v>0.0</v>
      </c>
      <c r="Q56" s="70">
        <v>0.0</v>
      </c>
      <c r="R56" s="70">
        <v>0.0</v>
      </c>
      <c r="S56" s="72"/>
      <c r="T56" s="70">
        <v>0.0</v>
      </c>
      <c r="U56" s="70">
        <v>0.0</v>
      </c>
      <c r="V56" s="70">
        <v>0.0</v>
      </c>
      <c r="W56" s="70">
        <v>0.0</v>
      </c>
      <c r="X56" s="71">
        <v>0.0</v>
      </c>
      <c r="Y56" s="70">
        <v>0.0</v>
      </c>
      <c r="Z56" s="77">
        <v>0.0</v>
      </c>
      <c r="AA56" s="72">
        <f t="shared" si="1"/>
        <v>0</v>
      </c>
    </row>
    <row r="57">
      <c r="M57" s="78" t="s">
        <v>136</v>
      </c>
      <c r="N57" s="79" t="s">
        <v>4</v>
      </c>
      <c r="O57" s="80">
        <v>130.0</v>
      </c>
      <c r="P57" s="80">
        <v>92.0</v>
      </c>
      <c r="Q57" s="80">
        <v>151.0</v>
      </c>
      <c r="R57" s="80">
        <v>237.0</v>
      </c>
      <c r="S57" s="195"/>
      <c r="T57" s="80">
        <v>178.0</v>
      </c>
      <c r="U57" s="80">
        <v>215.0</v>
      </c>
      <c r="V57" s="80">
        <v>303.0</v>
      </c>
      <c r="W57" s="80">
        <v>149.0</v>
      </c>
      <c r="X57" s="81">
        <v>150.0</v>
      </c>
      <c r="Y57" s="80">
        <v>137.0</v>
      </c>
      <c r="Z57" s="80">
        <v>74.0</v>
      </c>
      <c r="AA57" s="82">
        <f t="shared" si="1"/>
        <v>1816</v>
      </c>
    </row>
    <row r="58">
      <c r="M58" s="73"/>
      <c r="N58" s="83" t="s">
        <v>40</v>
      </c>
      <c r="O58" s="80">
        <v>130.0</v>
      </c>
      <c r="P58" s="80">
        <v>92.0</v>
      </c>
      <c r="Q58" s="80">
        <v>151.0</v>
      </c>
      <c r="R58" s="80">
        <v>237.0</v>
      </c>
      <c r="S58" s="195"/>
      <c r="T58" s="80">
        <v>178.0</v>
      </c>
      <c r="U58" s="80">
        <v>215.0</v>
      </c>
      <c r="V58" s="80">
        <v>303.0</v>
      </c>
      <c r="W58" s="80">
        <v>149.0</v>
      </c>
      <c r="X58" s="81">
        <v>150.0</v>
      </c>
      <c r="Y58" s="80">
        <v>137.0</v>
      </c>
      <c r="Z58" s="80">
        <v>74.0</v>
      </c>
      <c r="AA58" s="82">
        <f t="shared" si="1"/>
        <v>1816</v>
      </c>
    </row>
    <row r="59">
      <c r="M59" s="73"/>
      <c r="N59" s="84" t="s">
        <v>42</v>
      </c>
      <c r="O59" s="80">
        <v>0.0</v>
      </c>
      <c r="P59" s="80">
        <v>0.0</v>
      </c>
      <c r="Q59" s="80">
        <v>0.0</v>
      </c>
      <c r="R59" s="80">
        <v>0.0</v>
      </c>
      <c r="S59" s="195"/>
      <c r="T59" s="80">
        <v>0.0</v>
      </c>
      <c r="U59" s="80">
        <v>0.0</v>
      </c>
      <c r="V59" s="80">
        <v>0.0</v>
      </c>
      <c r="W59" s="80">
        <v>0.0</v>
      </c>
      <c r="X59" s="81">
        <v>0.0</v>
      </c>
      <c r="Y59" s="80">
        <v>0.0</v>
      </c>
      <c r="Z59" s="80">
        <v>0.0</v>
      </c>
      <c r="AA59" s="82">
        <f t="shared" si="1"/>
        <v>0</v>
      </c>
    </row>
    <row r="60">
      <c r="M60" s="67" t="s">
        <v>137</v>
      </c>
      <c r="N60" s="68" t="s">
        <v>4</v>
      </c>
      <c r="O60" s="70">
        <v>4.0</v>
      </c>
      <c r="P60" s="70">
        <v>44.0</v>
      </c>
      <c r="Q60" s="70">
        <v>0.0</v>
      </c>
      <c r="R60" s="70">
        <v>0.0</v>
      </c>
      <c r="S60" s="70">
        <v>11.0</v>
      </c>
      <c r="T60" s="72"/>
      <c r="U60" s="70">
        <v>3.0</v>
      </c>
      <c r="V60" s="70">
        <v>0.0</v>
      </c>
      <c r="W60" s="70">
        <v>0.0</v>
      </c>
      <c r="X60" s="71">
        <v>0.0</v>
      </c>
      <c r="Y60" s="70">
        <v>0.0</v>
      </c>
      <c r="Z60" s="70">
        <v>0.0</v>
      </c>
      <c r="AA60" s="72">
        <f t="shared" si="1"/>
        <v>62</v>
      </c>
    </row>
    <row r="61">
      <c r="M61" s="73"/>
      <c r="N61" s="74" t="s">
        <v>40</v>
      </c>
      <c r="O61" s="70">
        <v>4.0</v>
      </c>
      <c r="P61" s="70">
        <v>44.0</v>
      </c>
      <c r="Q61" s="70">
        <v>0.0</v>
      </c>
      <c r="R61" s="70">
        <v>0.0</v>
      </c>
      <c r="S61" s="70">
        <v>11.0</v>
      </c>
      <c r="T61" s="72"/>
      <c r="U61" s="70">
        <v>3.0</v>
      </c>
      <c r="V61" s="70">
        <v>0.0</v>
      </c>
      <c r="W61" s="70">
        <v>0.0</v>
      </c>
      <c r="X61" s="71">
        <v>0.0</v>
      </c>
      <c r="Y61" s="70">
        <v>0.0</v>
      </c>
      <c r="Z61" s="70">
        <v>0.0</v>
      </c>
      <c r="AA61" s="72">
        <f t="shared" si="1"/>
        <v>62</v>
      </c>
    </row>
    <row r="62">
      <c r="M62" s="73"/>
      <c r="N62" s="67" t="s">
        <v>42</v>
      </c>
      <c r="O62" s="196">
        <v>0.0</v>
      </c>
      <c r="P62" s="196">
        <v>0.0</v>
      </c>
      <c r="Q62" s="196">
        <v>0.0</v>
      </c>
      <c r="R62" s="196">
        <v>0.0</v>
      </c>
      <c r="S62" s="196">
        <v>0.0</v>
      </c>
      <c r="T62" s="197"/>
      <c r="U62" s="196">
        <v>0.0</v>
      </c>
      <c r="V62" s="196">
        <v>0.0</v>
      </c>
      <c r="W62" s="196">
        <v>0.0</v>
      </c>
      <c r="X62" s="198">
        <v>0.0</v>
      </c>
      <c r="Y62" s="196">
        <v>0.0</v>
      </c>
      <c r="Z62" s="199">
        <v>0.0</v>
      </c>
      <c r="AA62" s="72">
        <f t="shared" si="1"/>
        <v>0</v>
      </c>
    </row>
    <row r="63">
      <c r="M63" s="200" t="s">
        <v>138</v>
      </c>
      <c r="N63" s="201" t="s">
        <v>4</v>
      </c>
      <c r="O63" s="202"/>
      <c r="P63" s="203"/>
      <c r="Q63" s="203"/>
      <c r="R63" s="203"/>
      <c r="S63" s="203"/>
      <c r="T63" s="204">
        <v>2.0</v>
      </c>
      <c r="U63" s="203"/>
      <c r="V63" s="203"/>
      <c r="W63" s="203"/>
      <c r="X63" s="202"/>
      <c r="Y63" s="203"/>
      <c r="Z63" s="205"/>
      <c r="AA63" s="206">
        <f t="shared" si="1"/>
        <v>2</v>
      </c>
    </row>
    <row r="64">
      <c r="M64" s="73"/>
      <c r="N64" s="207" t="s">
        <v>40</v>
      </c>
      <c r="O64" s="202"/>
      <c r="P64" s="203"/>
      <c r="Q64" s="203"/>
      <c r="R64" s="203"/>
      <c r="S64" s="203"/>
      <c r="T64" s="204">
        <v>2.0</v>
      </c>
      <c r="U64" s="203"/>
      <c r="V64" s="203"/>
      <c r="W64" s="203"/>
      <c r="X64" s="202"/>
      <c r="Y64" s="203"/>
      <c r="Z64" s="205"/>
      <c r="AA64" s="206">
        <f t="shared" si="1"/>
        <v>2</v>
      </c>
    </row>
    <row r="65">
      <c r="M65" s="7"/>
      <c r="N65" s="201" t="s">
        <v>42</v>
      </c>
      <c r="O65" s="208"/>
      <c r="P65" s="209"/>
      <c r="Q65" s="209"/>
      <c r="R65" s="209"/>
      <c r="S65" s="209"/>
      <c r="T65" s="210">
        <v>0.0</v>
      </c>
      <c r="U65" s="209"/>
      <c r="V65" s="209"/>
      <c r="W65" s="209"/>
      <c r="X65" s="209"/>
      <c r="Y65" s="209"/>
      <c r="Z65" s="209"/>
      <c r="AA65" s="206">
        <f t="shared" si="1"/>
        <v>0</v>
      </c>
    </row>
  </sheetData>
  <mergeCells count="43">
    <mergeCell ref="B13:D13"/>
    <mergeCell ref="F13:K13"/>
    <mergeCell ref="C3:F3"/>
    <mergeCell ref="C5:C6"/>
    <mergeCell ref="E5:F5"/>
    <mergeCell ref="E6:F6"/>
    <mergeCell ref="D7:F7"/>
    <mergeCell ref="B11:K11"/>
    <mergeCell ref="M12:M14"/>
    <mergeCell ref="F19:H19"/>
    <mergeCell ref="F20:H20"/>
    <mergeCell ref="F21:H21"/>
    <mergeCell ref="F14:H14"/>
    <mergeCell ref="F15:H15"/>
    <mergeCell ref="M15:M17"/>
    <mergeCell ref="F16:H16"/>
    <mergeCell ref="F17:H17"/>
    <mergeCell ref="M18:M20"/>
    <mergeCell ref="F23:H23"/>
    <mergeCell ref="F29:H29"/>
    <mergeCell ref="F30:H30"/>
    <mergeCell ref="F18:H18"/>
    <mergeCell ref="F22:H22"/>
    <mergeCell ref="F24:H24"/>
    <mergeCell ref="F25:H25"/>
    <mergeCell ref="F26:H26"/>
    <mergeCell ref="F27:H27"/>
    <mergeCell ref="F28:H28"/>
    <mergeCell ref="M42:M44"/>
    <mergeCell ref="M45:M47"/>
    <mergeCell ref="M48:M50"/>
    <mergeCell ref="M51:M53"/>
    <mergeCell ref="M54:M56"/>
    <mergeCell ref="M57:M59"/>
    <mergeCell ref="M60:M62"/>
    <mergeCell ref="M63:M65"/>
    <mergeCell ref="M21:M23"/>
    <mergeCell ref="M24:M26"/>
    <mergeCell ref="M27:M29"/>
    <mergeCell ref="M30:M32"/>
    <mergeCell ref="M33:M35"/>
    <mergeCell ref="M36:M38"/>
    <mergeCell ref="M39:M41"/>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88"/>
    <col customWidth="1" min="2" max="2" width="31.0"/>
    <col customWidth="1" min="3" max="4" width="32.88"/>
    <col customWidth="1" min="5" max="5" width="30.13"/>
  </cols>
  <sheetData>
    <row r="3">
      <c r="B3" s="1" t="s">
        <v>0</v>
      </c>
      <c r="C3" s="2"/>
      <c r="D3" s="2"/>
      <c r="E3" s="3"/>
    </row>
    <row r="5">
      <c r="B5" s="4" t="s">
        <v>1</v>
      </c>
      <c r="C5" s="211" t="s">
        <v>139</v>
      </c>
      <c r="D5" s="211" t="s">
        <v>140</v>
      </c>
      <c r="E5" s="211" t="s">
        <v>141</v>
      </c>
    </row>
    <row r="6" ht="26.25" customHeight="1">
      <c r="B6" s="7"/>
      <c r="C6" s="212">
        <v>103.0</v>
      </c>
      <c r="D6" s="212">
        <v>202.0</v>
      </c>
      <c r="E6" s="212">
        <v>162.0</v>
      </c>
    </row>
    <row r="7">
      <c r="B7" s="213" t="s">
        <v>142</v>
      </c>
      <c r="C7" s="212" t="s">
        <v>143</v>
      </c>
      <c r="D7" s="212" t="s">
        <v>144</v>
      </c>
      <c r="E7" s="212" t="s">
        <v>145</v>
      </c>
    </row>
    <row r="8">
      <c r="B8" s="213" t="s">
        <v>146</v>
      </c>
      <c r="C8" s="212" t="s">
        <v>147</v>
      </c>
      <c r="D8" s="212" t="s">
        <v>148</v>
      </c>
      <c r="E8" s="212" t="s">
        <v>149</v>
      </c>
    </row>
    <row r="12">
      <c r="B12" s="14" t="s">
        <v>6</v>
      </c>
      <c r="C12" s="15" t="s">
        <v>150</v>
      </c>
      <c r="D12" s="16" t="s">
        <v>151</v>
      </c>
      <c r="E12" s="17" t="s">
        <v>152</v>
      </c>
    </row>
    <row r="13">
      <c r="B13" s="21" t="s">
        <v>13</v>
      </c>
      <c r="C13" s="22">
        <v>149.0</v>
      </c>
      <c r="D13" s="23">
        <v>21.0</v>
      </c>
      <c r="E13" s="24">
        <v>128.0</v>
      </c>
    </row>
    <row r="14">
      <c r="B14" s="21" t="s">
        <v>14</v>
      </c>
      <c r="C14" s="22">
        <v>141.0</v>
      </c>
      <c r="D14" s="23">
        <v>19.0</v>
      </c>
      <c r="E14" s="24">
        <v>122.0</v>
      </c>
    </row>
    <row r="15">
      <c r="B15" s="21" t="s">
        <v>15</v>
      </c>
      <c r="C15" s="22">
        <v>160.0</v>
      </c>
      <c r="D15" s="23">
        <v>15.0</v>
      </c>
      <c r="E15" s="24">
        <v>145.0</v>
      </c>
    </row>
    <row r="16">
      <c r="B16" s="21" t="s">
        <v>16</v>
      </c>
      <c r="C16" s="22">
        <v>281.0</v>
      </c>
      <c r="D16" s="23">
        <v>25.0</v>
      </c>
      <c r="E16" s="24">
        <v>256.0</v>
      </c>
    </row>
    <row r="17">
      <c r="B17" s="21" t="s">
        <v>17</v>
      </c>
      <c r="C17" s="22">
        <v>200.0</v>
      </c>
      <c r="D17" s="23">
        <v>22.0</v>
      </c>
      <c r="E17" s="24">
        <v>178.0</v>
      </c>
    </row>
    <row r="18">
      <c r="B18" s="21" t="s">
        <v>18</v>
      </c>
      <c r="C18" s="22">
        <v>136.0</v>
      </c>
      <c r="D18" s="23">
        <v>8.0</v>
      </c>
      <c r="E18" s="24">
        <v>128.0</v>
      </c>
    </row>
    <row r="19">
      <c r="B19" s="21" t="s">
        <v>19</v>
      </c>
      <c r="C19" s="22">
        <v>255.0</v>
      </c>
      <c r="D19" s="23">
        <v>11.0</v>
      </c>
      <c r="E19" s="24">
        <v>244.0</v>
      </c>
    </row>
    <row r="20">
      <c r="B20" s="21" t="s">
        <v>20</v>
      </c>
      <c r="C20" s="22">
        <v>104.0</v>
      </c>
      <c r="D20" s="23">
        <v>5.0</v>
      </c>
      <c r="E20" s="24">
        <v>99.0</v>
      </c>
    </row>
    <row r="21">
      <c r="B21" s="21" t="s">
        <v>21</v>
      </c>
      <c r="C21" s="22">
        <v>132.0</v>
      </c>
      <c r="D21" s="23">
        <v>24.0</v>
      </c>
      <c r="E21" s="24">
        <v>108.0</v>
      </c>
    </row>
    <row r="22">
      <c r="B22" s="21" t="s">
        <v>22</v>
      </c>
      <c r="C22" s="22">
        <v>218.0</v>
      </c>
      <c r="D22" s="23">
        <v>13.0</v>
      </c>
      <c r="E22" s="24">
        <v>205.0</v>
      </c>
    </row>
    <row r="23">
      <c r="B23" s="21" t="s">
        <v>23</v>
      </c>
      <c r="C23" s="28">
        <v>210.0</v>
      </c>
      <c r="D23" s="29">
        <v>29.0</v>
      </c>
      <c r="E23" s="24">
        <v>181.0</v>
      </c>
    </row>
    <row r="24">
      <c r="B24" s="21" t="s">
        <v>24</v>
      </c>
      <c r="C24" s="28">
        <v>200.0</v>
      </c>
      <c r="D24" s="29">
        <v>15.0</v>
      </c>
      <c r="E24" s="24">
        <v>185.0</v>
      </c>
    </row>
    <row r="25">
      <c r="B25" s="32" t="s">
        <v>4</v>
      </c>
      <c r="C25" s="33">
        <f t="shared" ref="C25:E25" si="1">SUM(C13:C24)</f>
        <v>2186</v>
      </c>
      <c r="D25" s="34">
        <f t="shared" si="1"/>
        <v>207</v>
      </c>
      <c r="E25" s="35">
        <f t="shared" si="1"/>
        <v>1979</v>
      </c>
    </row>
  </sheetData>
  <mergeCells count="2">
    <mergeCell ref="B3:E3"/>
    <mergeCell ref="B5:B6"/>
  </mergeCells>
  <drawing r:id="rId1"/>
</worksheet>
</file>