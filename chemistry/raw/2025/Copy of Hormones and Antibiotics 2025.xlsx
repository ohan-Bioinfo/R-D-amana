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2025" sheetId="1" r:id="rId5"/>
    <sheet state="visible" name="Feb-25" sheetId="2" r:id="rId6"/>
  </sheets>
  <definedNames/>
  <calcPr/>
</workbook>
</file>

<file path=xl/sharedStrings.xml><?xml version="1.0" encoding="utf-8"?>
<sst xmlns="http://schemas.openxmlformats.org/spreadsheetml/2006/main" count="162" uniqueCount="52">
  <si>
    <t>No.</t>
  </si>
  <si>
    <t>Sampling Date
تاريخ سحب العينة</t>
  </si>
  <si>
    <t>Sample Category
فئة العينة</t>
  </si>
  <si>
    <t>Sample Name
اسم العينة</t>
  </si>
  <si>
    <t>Sample ID
رمز العينة</t>
  </si>
  <si>
    <t>Facility Name
اسم المنشأة</t>
  </si>
  <si>
    <t>District Name
اسم الحي</t>
  </si>
  <si>
    <t>Street Name
اسم الشارع</t>
  </si>
  <si>
    <t>Municipality name 
اسم البلدية</t>
  </si>
  <si>
    <t>رقم الرخصة</t>
  </si>
  <si>
    <t xml:space="preserve">Analysis section
قسم التحليل </t>
  </si>
  <si>
    <t>Valid/ Invalid 
مطابقة/غير مطابقة</t>
  </si>
  <si>
    <t>Invalid test
 الاختبار الغير مطابق</t>
  </si>
  <si>
    <t>Amoxicillin</t>
  </si>
  <si>
    <t>LIMT</t>
  </si>
  <si>
    <t>Sufamerazine</t>
  </si>
  <si>
    <t>Sulfamethoxazole</t>
  </si>
  <si>
    <t>Testosterone</t>
  </si>
  <si>
    <t>Progesterone</t>
  </si>
  <si>
    <t>Meat and Poultry products
اللحوم والدواجن</t>
  </si>
  <si>
    <t>لحم نعيم</t>
  </si>
  <si>
    <t>de-0001-R01</t>
  </si>
  <si>
    <t>اسواق السلطان</t>
  </si>
  <si>
    <t>حي القدس</t>
  </si>
  <si>
    <t>بلدية الروضة</t>
  </si>
  <si>
    <t>الهرمونات والمضادات الحيوية</t>
  </si>
  <si>
    <t>Valid
مطابقة</t>
  </si>
  <si>
    <t>N.D</t>
  </si>
  <si>
    <t>لحم روماني</t>
  </si>
  <si>
    <t>Raw-0034-R01</t>
  </si>
  <si>
    <t>ملحمة نسنات</t>
  </si>
  <si>
    <t>لحم عجل</t>
  </si>
  <si>
    <t>Raw-0035-R01</t>
  </si>
  <si>
    <t>دجاج متبل ني</t>
  </si>
  <si>
    <t>co-0436-R01</t>
  </si>
  <si>
    <t xml:space="preserve">مطاعم ركن هاشم </t>
  </si>
  <si>
    <t xml:space="preserve">باقية للإعادة </t>
  </si>
  <si>
    <t>لحم ني</t>
  </si>
  <si>
    <t>Raw-0036-R01</t>
  </si>
  <si>
    <t>دجاج ني</t>
  </si>
  <si>
    <t>co-0437-R01</t>
  </si>
  <si>
    <t>ناز البخاري</t>
  </si>
  <si>
    <t>دجاج متبل ني المراعي</t>
  </si>
  <si>
    <t>co-0438-R01</t>
  </si>
  <si>
    <t>بيت الشواية</t>
  </si>
  <si>
    <t>المغزات</t>
  </si>
  <si>
    <t>بلدية العليا</t>
  </si>
  <si>
    <t>كباب لحم</t>
  </si>
  <si>
    <t>Raw-0037-R01</t>
  </si>
  <si>
    <t>ميدان الشام</t>
  </si>
  <si>
    <t>أوصال لحم</t>
  </si>
  <si>
    <t>Raw-0038-R01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</si>
</sst>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&quot;Comic Sans MS&quot;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1.0"/>
      <color rgb="FF293333"/>
      <name val="-apple-system"/>
    </font>
    <font>
      <b/>
      <sz val="11.0"/>
      <color rgb="FF000000"/>
      <name val="-apple-system"/>
    </font>
    <font>
      <b/>
      <sz val="11.0"/>
      <color rgb="FF006100"/>
      <name val="Arial"/>
    </font>
    <font>
      <b/>
      <color theme="1"/>
      <name val="Arial"/>
      <scheme val="minor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1" fillId="4" fontId="3" numFmtId="164" xfId="0" applyAlignment="1" applyBorder="1" applyFill="1" applyFont="1" applyNumberForma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5" fontId="9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horizontal="center" readingOrder="0" vertical="center"/>
    </xf>
    <xf borderId="0" fillId="3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1" fillId="4" fontId="1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center"/>
    </xf>
    <xf borderId="1" fillId="0" fontId="5" numFmtId="0" xfId="0" applyBorder="1" applyFont="1"/>
    <xf borderId="1" fillId="3" fontId="5" numFmtId="0" xfId="0" applyBorder="1" applyFont="1"/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3" max="3" width="20.5"/>
    <col customWidth="1" min="5" max="5" width="14.88"/>
    <col customWidth="1" min="11" max="11" width="21.0"/>
    <col customWidth="1" min="16" max="16" width="13.63"/>
    <col customWidth="1" min="18" max="18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3" t="s">
        <v>15</v>
      </c>
      <c r="Q1" s="4" t="s">
        <v>14</v>
      </c>
      <c r="R1" s="3" t="s">
        <v>16</v>
      </c>
      <c r="S1" s="4" t="s">
        <v>14</v>
      </c>
      <c r="T1" s="3" t="s">
        <v>17</v>
      </c>
      <c r="U1" s="4" t="s">
        <v>14</v>
      </c>
      <c r="V1" s="3" t="s">
        <v>18</v>
      </c>
      <c r="W1" s="4" t="s">
        <v>14</v>
      </c>
      <c r="X1" s="5"/>
      <c r="Y1" s="5"/>
      <c r="Z1" s="5"/>
      <c r="AA1" s="6"/>
      <c r="AB1" s="6"/>
      <c r="AC1" s="6"/>
    </row>
    <row r="2">
      <c r="A2" s="7">
        <v>1.0</v>
      </c>
      <c r="B2" s="8">
        <v>45683.0</v>
      </c>
      <c r="C2" s="9" t="s">
        <v>19</v>
      </c>
      <c r="D2" s="10" t="s">
        <v>20</v>
      </c>
      <c r="E2" s="10" t="s">
        <v>21</v>
      </c>
      <c r="F2" s="11" t="s">
        <v>22</v>
      </c>
      <c r="G2" s="12" t="s">
        <v>23</v>
      </c>
      <c r="H2" s="13"/>
      <c r="I2" s="10" t="s">
        <v>24</v>
      </c>
      <c r="J2" s="14">
        <v>4.0092384757E10</v>
      </c>
      <c r="K2" s="15" t="s">
        <v>25</v>
      </c>
      <c r="L2" s="16" t="s">
        <v>26</v>
      </c>
      <c r="M2" s="13"/>
      <c r="N2" s="17" t="s">
        <v>27</v>
      </c>
      <c r="O2" s="18"/>
      <c r="P2" s="17" t="s">
        <v>27</v>
      </c>
      <c r="Q2" s="18"/>
      <c r="R2" s="17" t="s">
        <v>27</v>
      </c>
      <c r="S2" s="18"/>
      <c r="T2" s="17" t="s">
        <v>27</v>
      </c>
      <c r="U2" s="18"/>
      <c r="V2" s="17" t="s">
        <v>27</v>
      </c>
      <c r="W2" s="18"/>
      <c r="X2" s="18"/>
      <c r="Y2" s="18"/>
      <c r="Z2" s="18"/>
      <c r="AA2" s="18"/>
      <c r="AB2" s="18"/>
      <c r="AC2" s="18"/>
    </row>
    <row r="3">
      <c r="A3" s="19">
        <f t="shared" ref="A3:A7" si="1">A2+1</f>
        <v>2</v>
      </c>
      <c r="B3" s="8">
        <v>45684.0</v>
      </c>
      <c r="C3" s="9" t="s">
        <v>19</v>
      </c>
      <c r="D3" s="10" t="s">
        <v>28</v>
      </c>
      <c r="E3" s="10" t="s">
        <v>29</v>
      </c>
      <c r="F3" s="14" t="s">
        <v>30</v>
      </c>
      <c r="G3" s="12" t="s">
        <v>23</v>
      </c>
      <c r="H3" s="13"/>
      <c r="I3" s="10" t="s">
        <v>24</v>
      </c>
      <c r="J3" s="14">
        <v>4.60316850179E11</v>
      </c>
      <c r="K3" s="15" t="s">
        <v>25</v>
      </c>
      <c r="L3" s="16" t="s">
        <v>26</v>
      </c>
      <c r="M3" s="13"/>
      <c r="N3" s="17" t="s">
        <v>27</v>
      </c>
      <c r="O3" s="18"/>
      <c r="P3" s="17" t="s">
        <v>27</v>
      </c>
      <c r="Q3" s="18"/>
      <c r="R3" s="17" t="s">
        <v>27</v>
      </c>
      <c r="S3" s="18"/>
      <c r="T3" s="17" t="s">
        <v>27</v>
      </c>
      <c r="U3" s="18"/>
      <c r="V3" s="17" t="s">
        <v>27</v>
      </c>
      <c r="W3" s="18"/>
      <c r="X3" s="18"/>
      <c r="Y3" s="18"/>
      <c r="Z3" s="18"/>
      <c r="AA3" s="18"/>
      <c r="AB3" s="18"/>
      <c r="AC3" s="18"/>
    </row>
    <row r="4">
      <c r="A4" s="19">
        <f t="shared" si="1"/>
        <v>3</v>
      </c>
      <c r="B4" s="8">
        <v>45684.0</v>
      </c>
      <c r="C4" s="9" t="s">
        <v>19</v>
      </c>
      <c r="D4" s="10" t="s">
        <v>31</v>
      </c>
      <c r="E4" s="10" t="s">
        <v>32</v>
      </c>
      <c r="F4" s="14" t="s">
        <v>30</v>
      </c>
      <c r="G4" s="12" t="s">
        <v>23</v>
      </c>
      <c r="H4" s="13"/>
      <c r="I4" s="10" t="s">
        <v>24</v>
      </c>
      <c r="J4" s="14">
        <v>4.60316850179E11</v>
      </c>
      <c r="K4" s="15" t="s">
        <v>25</v>
      </c>
      <c r="L4" s="16" t="s">
        <v>26</v>
      </c>
      <c r="M4" s="13"/>
      <c r="N4" s="17" t="s">
        <v>27</v>
      </c>
      <c r="O4" s="18"/>
      <c r="P4" s="17" t="s">
        <v>27</v>
      </c>
      <c r="Q4" s="18"/>
      <c r="R4" s="17" t="s">
        <v>27</v>
      </c>
      <c r="S4" s="18"/>
      <c r="T4" s="17" t="s">
        <v>27</v>
      </c>
      <c r="U4" s="18"/>
      <c r="V4" s="17" t="s">
        <v>27</v>
      </c>
      <c r="W4" s="18"/>
      <c r="X4" s="18"/>
      <c r="Y4" s="18"/>
      <c r="Z4" s="18"/>
      <c r="AA4" s="18"/>
      <c r="AB4" s="18"/>
      <c r="AC4" s="18"/>
    </row>
    <row r="5">
      <c r="A5" s="19">
        <f t="shared" si="1"/>
        <v>4</v>
      </c>
      <c r="B5" s="8">
        <v>45685.0</v>
      </c>
      <c r="C5" s="9" t="s">
        <v>19</v>
      </c>
      <c r="D5" s="20" t="s">
        <v>33</v>
      </c>
      <c r="E5" s="21" t="s">
        <v>34</v>
      </c>
      <c r="F5" s="14" t="s">
        <v>35</v>
      </c>
      <c r="G5" s="12" t="s">
        <v>23</v>
      </c>
      <c r="H5" s="13"/>
      <c r="I5" s="10" t="s">
        <v>24</v>
      </c>
      <c r="J5" s="14">
        <v>4.0031855169E10</v>
      </c>
      <c r="K5" s="15" t="s">
        <v>25</v>
      </c>
      <c r="L5" s="16" t="s">
        <v>26</v>
      </c>
      <c r="M5" s="13"/>
      <c r="N5" s="22" t="s">
        <v>36</v>
      </c>
      <c r="O5" s="18"/>
      <c r="P5" s="17" t="s">
        <v>27</v>
      </c>
      <c r="Q5" s="18"/>
      <c r="R5" s="17" t="s">
        <v>27</v>
      </c>
      <c r="S5" s="18"/>
      <c r="T5" s="17" t="s">
        <v>27</v>
      </c>
      <c r="U5" s="18"/>
      <c r="V5" s="17" t="s">
        <v>27</v>
      </c>
      <c r="W5" s="18"/>
      <c r="X5" s="18"/>
      <c r="Y5" s="18"/>
      <c r="Z5" s="18"/>
      <c r="AA5" s="18"/>
      <c r="AB5" s="18"/>
      <c r="AC5" s="18"/>
    </row>
    <row r="6">
      <c r="A6" s="19">
        <f t="shared" si="1"/>
        <v>5</v>
      </c>
      <c r="B6" s="8">
        <v>45685.0</v>
      </c>
      <c r="C6" s="9" t="s">
        <v>19</v>
      </c>
      <c r="D6" s="20" t="s">
        <v>37</v>
      </c>
      <c r="E6" s="21" t="s">
        <v>38</v>
      </c>
      <c r="F6" s="21" t="s">
        <v>35</v>
      </c>
      <c r="G6" s="12" t="s">
        <v>23</v>
      </c>
      <c r="H6" s="13"/>
      <c r="I6" s="10" t="s">
        <v>24</v>
      </c>
      <c r="J6" s="14">
        <v>4.0031855169E10</v>
      </c>
      <c r="K6" s="15" t="s">
        <v>25</v>
      </c>
      <c r="L6" s="16" t="s">
        <v>26</v>
      </c>
      <c r="M6" s="13"/>
      <c r="N6" s="17" t="s">
        <v>27</v>
      </c>
      <c r="O6" s="18"/>
      <c r="P6" s="17" t="s">
        <v>27</v>
      </c>
      <c r="Q6" s="18"/>
      <c r="R6" s="17" t="s">
        <v>27</v>
      </c>
      <c r="S6" s="18"/>
      <c r="T6" s="17" t="s">
        <v>27</v>
      </c>
      <c r="U6" s="18"/>
      <c r="V6" s="17" t="s">
        <v>27</v>
      </c>
      <c r="W6" s="18"/>
      <c r="X6" s="18"/>
      <c r="Y6" s="18"/>
      <c r="Z6" s="18"/>
      <c r="AA6" s="18"/>
      <c r="AB6" s="18"/>
      <c r="AC6" s="18"/>
    </row>
    <row r="7">
      <c r="A7" s="19">
        <f t="shared" si="1"/>
        <v>6</v>
      </c>
      <c r="B7" s="8">
        <v>45685.0</v>
      </c>
      <c r="C7" s="9" t="s">
        <v>19</v>
      </c>
      <c r="D7" s="20" t="s">
        <v>39</v>
      </c>
      <c r="E7" s="21" t="s">
        <v>40</v>
      </c>
      <c r="F7" s="21" t="s">
        <v>41</v>
      </c>
      <c r="G7" s="12" t="s">
        <v>23</v>
      </c>
      <c r="H7" s="13"/>
      <c r="I7" s="10" t="s">
        <v>24</v>
      </c>
      <c r="J7" s="14">
        <v>4.40811745711E11</v>
      </c>
      <c r="K7" s="15" t="s">
        <v>25</v>
      </c>
      <c r="L7" s="16" t="s">
        <v>26</v>
      </c>
      <c r="M7" s="13"/>
      <c r="N7" s="17" t="s">
        <v>27</v>
      </c>
      <c r="O7" s="18"/>
      <c r="P7" s="17" t="s">
        <v>27</v>
      </c>
      <c r="Q7" s="18"/>
      <c r="R7" s="17" t="s">
        <v>27</v>
      </c>
      <c r="S7" s="18"/>
      <c r="T7" s="17" t="s">
        <v>27</v>
      </c>
      <c r="U7" s="18"/>
      <c r="V7" s="17" t="s">
        <v>27</v>
      </c>
      <c r="W7" s="18"/>
      <c r="X7" s="18"/>
      <c r="Y7" s="18"/>
      <c r="Z7" s="18"/>
      <c r="AA7" s="18"/>
      <c r="AB7" s="18"/>
      <c r="AC7" s="18"/>
    </row>
    <row r="8">
      <c r="A8" s="6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>
      <c r="A9" s="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>
      <c r="A12" s="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>
      <c r="A14" s="6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>
      <c r="A16" s="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>
      <c r="A18" s="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>
      <c r="A19" s="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>
      <c r="A21" s="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>
      <c r="A24" s="6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>
      <c r="A26" s="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>
      <c r="A28" s="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>
      <c r="A29" s="6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>
      <c r="A31" s="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>
      <c r="A32" s="6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>
      <c r="A33" s="6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>
      <c r="A34" s="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>
      <c r="A36" s="6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>
      <c r="A37" s="6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>
      <c r="A41" s="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>
      <c r="A42" s="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>
      <c r="A46" s="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>
      <c r="A47" s="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>
      <c r="A48" s="6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>
      <c r="A49" s="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>
      <c r="A51" s="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>
      <c r="A53" s="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>
      <c r="A56" s="23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>
      <c r="A58" s="23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>
      <c r="A60" s="23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>
      <c r="A61" s="23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>
      <c r="A62" s="23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>
      <c r="A63" s="23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>
      <c r="A64" s="23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>
      <c r="A65" s="23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>
      <c r="A66" s="2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>
      <c r="A67" s="23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>
      <c r="A68" s="23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>
      <c r="A69" s="23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>
      <c r="A70" s="23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>
      <c r="A71" s="23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>
      <c r="A72" s="23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>
      <c r="A73" s="23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>
      <c r="A74" s="23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>
      <c r="A75" s="23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>
      <c r="A76" s="23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>
      <c r="A77" s="23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>
      <c r="A78" s="23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>
      <c r="A79" s="23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>
      <c r="A80" s="23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>
      <c r="A81" s="23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>
      <c r="A82" s="23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>
      <c r="A83" s="23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>
      <c r="A84" s="23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>
      <c r="A85" s="23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>
      <c r="A86" s="23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>
      <c r="A87" s="23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>
      <c r="A88" s="23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>
      <c r="A89" s="23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>
      <c r="A90" s="23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>
      <c r="A91" s="23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>
      <c r="A92" s="23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>
      <c r="A93" s="23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>
      <c r="A94" s="23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>
      <c r="A95" s="23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>
      <c r="A96" s="23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>
      <c r="A97" s="23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>
      <c r="A98" s="23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>
      <c r="A99" s="23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>
      <c r="A100" s="23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>
      <c r="A101" s="23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>
      <c r="A102" s="23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>
      <c r="A103" s="23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>
      <c r="A104" s="23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>
      <c r="A105" s="23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>
      <c r="A106" s="23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>
      <c r="A107" s="23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>
      <c r="A108" s="23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>
      <c r="A109" s="23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>
      <c r="A110" s="23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>
      <c r="A111" s="23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>
      <c r="A112" s="23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>
      <c r="A113" s="23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>
      <c r="A114" s="23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>
      <c r="A115" s="23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>
      <c r="A116" s="23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>
      <c r="A117" s="23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>
      <c r="A118" s="23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>
      <c r="A119" s="23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>
      <c r="A120" s="2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>
      <c r="A121" s="23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>
      <c r="A122" s="23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>
      <c r="A123" s="23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>
      <c r="A124" s="23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>
      <c r="A125" s="23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>
      <c r="A126" s="23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>
      <c r="A127" s="23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>
      <c r="A128" s="23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>
      <c r="A129" s="23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>
      <c r="A130" s="23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>
      <c r="A131" s="23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>
      <c r="A132" s="23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>
      <c r="A133" s="23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>
      <c r="A134" s="23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>
      <c r="A135" s="23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>
      <c r="A136" s="23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>
      <c r="A137" s="23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>
      <c r="A138" s="23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>
      <c r="A139" s="23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>
      <c r="A140" s="23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>
      <c r="A141" s="23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>
      <c r="A142" s="23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>
      <c r="A143" s="23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>
      <c r="A144" s="23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>
      <c r="A145" s="23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>
      <c r="A146" s="23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>
      <c r="A147" s="23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>
      <c r="A148" s="23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>
      <c r="A149" s="23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>
      <c r="A150" s="23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>
      <c r="A151" s="23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>
      <c r="A152" s="23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>
      <c r="A153" s="23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>
      <c r="A154" s="23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>
      <c r="A155" s="23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>
      <c r="A156" s="23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>
      <c r="A157" s="23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>
      <c r="A158" s="23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>
      <c r="A159" s="23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>
      <c r="A160" s="23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>
      <c r="A161" s="23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>
      <c r="A162" s="23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>
      <c r="A163" s="23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>
      <c r="A164" s="23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>
      <c r="A165" s="23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>
      <c r="A166" s="23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>
      <c r="A167" s="23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>
      <c r="A168" s="23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>
      <c r="A169" s="23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>
      <c r="A170" s="23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>
      <c r="A171" s="23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>
      <c r="A172" s="23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>
      <c r="A173" s="23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>
      <c r="A174" s="23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>
      <c r="A175" s="23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>
      <c r="A176" s="23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>
      <c r="A177" s="23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>
      <c r="A178" s="23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>
      <c r="A179" s="23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>
      <c r="A180" s="23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>
      <c r="A181" s="23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>
      <c r="A182" s="23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>
      <c r="A183" s="23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>
      <c r="A184" s="23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>
      <c r="A185" s="23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>
      <c r="A186" s="23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>
      <c r="A187" s="23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>
      <c r="A188" s="23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>
      <c r="A189" s="23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>
      <c r="A190" s="23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>
      <c r="A191" s="23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>
      <c r="A192" s="23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>
      <c r="A193" s="23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>
      <c r="A194" s="23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>
      <c r="A195" s="23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>
      <c r="A196" s="23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>
      <c r="A197" s="23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>
      <c r="A198" s="23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>
      <c r="A199" s="23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>
      <c r="A200" s="23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>
      <c r="A201" s="23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>
      <c r="A202" s="23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>
      <c r="A203" s="23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>
      <c r="A204" s="23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>
      <c r="A205" s="23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>
      <c r="A206" s="23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>
      <c r="A207" s="23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>
      <c r="A208" s="23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>
      <c r="A209" s="23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>
      <c r="A210" s="23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>
      <c r="A211" s="23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>
      <c r="A212" s="23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>
      <c r="A213" s="23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>
      <c r="A214" s="23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>
      <c r="A215" s="23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>
      <c r="A216" s="23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>
      <c r="A217" s="23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>
      <c r="A218" s="23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>
      <c r="A219" s="23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>
      <c r="A220" s="23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>
      <c r="A221" s="23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>
      <c r="A222" s="23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>
      <c r="A223" s="23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>
      <c r="A224" s="23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>
      <c r="A225" s="23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>
      <c r="A226" s="23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>
      <c r="A227" s="23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>
      <c r="A228" s="23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>
      <c r="A229" s="23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>
      <c r="A230" s="23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>
      <c r="A231" s="23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>
      <c r="A232" s="23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>
      <c r="A233" s="23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>
      <c r="A234" s="23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>
      <c r="A235" s="23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>
      <c r="A236" s="23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>
      <c r="A237" s="23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>
      <c r="A238" s="23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>
      <c r="A239" s="23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>
      <c r="A240" s="23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>
      <c r="A241" s="23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>
      <c r="A242" s="23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>
      <c r="A243" s="23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>
      <c r="A244" s="23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>
      <c r="A245" s="23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>
      <c r="A246" s="23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>
      <c r="A247" s="23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>
      <c r="A248" s="23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>
      <c r="A249" s="23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>
      <c r="A250" s="23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>
      <c r="A251" s="23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>
      <c r="A252" s="23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>
      <c r="A253" s="23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>
      <c r="A254" s="23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>
      <c r="A255" s="23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>
      <c r="A256" s="23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>
      <c r="A257" s="23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>
      <c r="A258" s="23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>
      <c r="A259" s="23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>
      <c r="A260" s="23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>
      <c r="A261" s="23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>
      <c r="A262" s="23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>
      <c r="A263" s="23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>
      <c r="A264" s="23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>
      <c r="A265" s="23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>
      <c r="A266" s="23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>
      <c r="A267" s="23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>
      <c r="A268" s="23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>
      <c r="A269" s="23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>
      <c r="A270" s="23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>
      <c r="A271" s="23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>
      <c r="A272" s="23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>
      <c r="A273" s="23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>
      <c r="A274" s="23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>
      <c r="A275" s="23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>
      <c r="A276" s="23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>
      <c r="A277" s="23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>
      <c r="A278" s="23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>
      <c r="A279" s="23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>
      <c r="A280" s="23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>
      <c r="A281" s="23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>
      <c r="A282" s="23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>
      <c r="A283" s="23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>
      <c r="A284" s="23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>
      <c r="A285" s="23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>
      <c r="A286" s="23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>
      <c r="A287" s="23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>
      <c r="A288" s="23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>
      <c r="A289" s="23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>
      <c r="A290" s="23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>
      <c r="A291" s="23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>
      <c r="A292" s="23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>
      <c r="A293" s="23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>
      <c r="A294" s="23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>
      <c r="A295" s="23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>
      <c r="A296" s="23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>
      <c r="A297" s="23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>
      <c r="A298" s="23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>
      <c r="A299" s="23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>
      <c r="A300" s="23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>
      <c r="A301" s="23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>
      <c r="A302" s="23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>
      <c r="A303" s="23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>
      <c r="A304" s="23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>
      <c r="A305" s="23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>
      <c r="A306" s="23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>
      <c r="A307" s="23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>
      <c r="A308" s="23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>
      <c r="A309" s="23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>
      <c r="A310" s="23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>
      <c r="A311" s="23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>
      <c r="A312" s="23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>
      <c r="A313" s="23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>
      <c r="A314" s="23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>
      <c r="A315" s="23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>
      <c r="A316" s="23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>
      <c r="A317" s="23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>
      <c r="A318" s="23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>
      <c r="A319" s="23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>
      <c r="A320" s="23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>
      <c r="A321" s="23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>
      <c r="A322" s="23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>
      <c r="A323" s="23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>
      <c r="A324" s="23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>
      <c r="A325" s="23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>
      <c r="A326" s="23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>
      <c r="A327" s="23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>
      <c r="A328" s="23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>
      <c r="A329" s="23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>
      <c r="A330" s="23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>
      <c r="A331" s="23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>
      <c r="A332" s="23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>
      <c r="A333" s="23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>
      <c r="A334" s="23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>
      <c r="A335" s="23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>
      <c r="A336" s="23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>
      <c r="A337" s="23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>
      <c r="A338" s="23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>
      <c r="A339" s="23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>
      <c r="A340" s="23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>
      <c r="A341" s="23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>
      <c r="A342" s="23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>
      <c r="A343" s="23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>
      <c r="A344" s="23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>
      <c r="A345" s="23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>
      <c r="A346" s="23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>
      <c r="A347" s="23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>
      <c r="A348" s="23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>
      <c r="A349" s="23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>
      <c r="A350" s="23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>
      <c r="A351" s="23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>
      <c r="A352" s="23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>
      <c r="A353" s="23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>
      <c r="A354" s="23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>
      <c r="A355" s="23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>
      <c r="A356" s="23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>
      <c r="A357" s="23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>
      <c r="A358" s="23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>
      <c r="A359" s="23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>
      <c r="A360" s="23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>
      <c r="A361" s="23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>
      <c r="A362" s="23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>
      <c r="A363" s="23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>
      <c r="A364" s="23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>
      <c r="A365" s="23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>
      <c r="A366" s="23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>
      <c r="A367" s="23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>
      <c r="A368" s="23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>
      <c r="A369" s="23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>
      <c r="A370" s="23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>
      <c r="A371" s="23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>
      <c r="A372" s="23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>
      <c r="A373" s="23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>
      <c r="A374" s="23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>
      <c r="A375" s="23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>
      <c r="A376" s="23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>
      <c r="A377" s="23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>
      <c r="A378" s="23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>
      <c r="A379" s="23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>
      <c r="A380" s="23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>
      <c r="A381" s="23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>
      <c r="A382" s="23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>
      <c r="A383" s="23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>
      <c r="A384" s="23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>
      <c r="A385" s="23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>
      <c r="A386" s="23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>
      <c r="A387" s="23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>
      <c r="A388" s="23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>
      <c r="A389" s="23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>
      <c r="A390" s="23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>
      <c r="A391" s="23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>
      <c r="A392" s="23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>
      <c r="A393" s="23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>
      <c r="A394" s="23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>
      <c r="A395" s="23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>
      <c r="A396" s="23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>
      <c r="A397" s="23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>
      <c r="A398" s="23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>
      <c r="A399" s="23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>
      <c r="A400" s="23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>
      <c r="A401" s="23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>
      <c r="A402" s="23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>
      <c r="A403" s="23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>
      <c r="A404" s="23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>
      <c r="A405" s="23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>
      <c r="A406" s="23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>
      <c r="A407" s="23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>
      <c r="A408" s="23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>
      <c r="A409" s="23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>
      <c r="A410" s="23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>
      <c r="A411" s="23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>
      <c r="A412" s="23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>
      <c r="A413" s="23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>
      <c r="A414" s="23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>
      <c r="A415" s="23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>
      <c r="A416" s="23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>
      <c r="A417" s="23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>
      <c r="A418" s="23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>
      <c r="A419" s="23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>
      <c r="A420" s="23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>
      <c r="A421" s="23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>
      <c r="A422" s="23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>
      <c r="A423" s="23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>
      <c r="A424" s="23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>
      <c r="A425" s="23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>
      <c r="A426" s="23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>
      <c r="A427" s="23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>
      <c r="A428" s="23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>
      <c r="A429" s="23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>
      <c r="A430" s="23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>
      <c r="A431" s="23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>
      <c r="A432" s="23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>
      <c r="A433" s="23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>
      <c r="A434" s="23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>
      <c r="A435" s="23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>
      <c r="A436" s="23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>
      <c r="A437" s="23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>
      <c r="A438" s="23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>
      <c r="A439" s="23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>
      <c r="A440" s="23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>
      <c r="A441" s="23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>
      <c r="A442" s="23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>
      <c r="A443" s="23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>
      <c r="A444" s="23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>
      <c r="A445" s="23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>
      <c r="A446" s="23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>
      <c r="A447" s="23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>
      <c r="A448" s="23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>
      <c r="A449" s="23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>
      <c r="A450" s="23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>
      <c r="A451" s="23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>
      <c r="A452" s="23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>
      <c r="A453" s="23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>
      <c r="A454" s="23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>
      <c r="A455" s="23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>
      <c r="A456" s="23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>
      <c r="A457" s="23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>
      <c r="A458" s="23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>
      <c r="A459" s="23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>
      <c r="A460" s="23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>
      <c r="A461" s="23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>
      <c r="A462" s="23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>
      <c r="A463" s="23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>
      <c r="A464" s="23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>
      <c r="A465" s="23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>
      <c r="A466" s="23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>
      <c r="A467" s="23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>
      <c r="A468" s="23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>
      <c r="A469" s="23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>
      <c r="A470" s="23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>
      <c r="A471" s="23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>
      <c r="A472" s="23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>
      <c r="A473" s="23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>
      <c r="A474" s="23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>
      <c r="A475" s="23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>
      <c r="A476" s="23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>
      <c r="A477" s="23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>
      <c r="A478" s="23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>
      <c r="A479" s="23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>
      <c r="A480" s="23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>
      <c r="A481" s="23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>
      <c r="A482" s="23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>
      <c r="A483" s="23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>
      <c r="A484" s="23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>
      <c r="A485" s="23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>
      <c r="A486" s="23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>
      <c r="A487" s="23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>
      <c r="A488" s="23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>
      <c r="A489" s="23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>
      <c r="A490" s="23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>
      <c r="A491" s="23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>
      <c r="A492" s="23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>
      <c r="A493" s="23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>
      <c r="A494" s="23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>
      <c r="A495" s="23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>
      <c r="A496" s="23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>
      <c r="A497" s="23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>
      <c r="A498" s="23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>
      <c r="A499" s="23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>
      <c r="A500" s="23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>
      <c r="A501" s="23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>
      <c r="A502" s="23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>
      <c r="A503" s="23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>
      <c r="A504" s="23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>
      <c r="A505" s="23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>
      <c r="A506" s="23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>
      <c r="A507" s="23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>
      <c r="A508" s="23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>
      <c r="A509" s="23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>
      <c r="A510" s="23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>
      <c r="A511" s="23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>
      <c r="A512" s="23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>
      <c r="A513" s="23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>
      <c r="A514" s="23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>
      <c r="A515" s="23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>
      <c r="A516" s="23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>
      <c r="A517" s="23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>
      <c r="A518" s="23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>
      <c r="A519" s="23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>
      <c r="A520" s="23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>
      <c r="A521" s="23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>
      <c r="A522" s="23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>
      <c r="A523" s="23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>
      <c r="A524" s="23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>
      <c r="A525" s="23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>
      <c r="A526" s="23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>
      <c r="A527" s="23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>
      <c r="A528" s="23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>
      <c r="A529" s="23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>
      <c r="A530" s="23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>
      <c r="A531" s="23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>
      <c r="A532" s="23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>
      <c r="A533" s="23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>
      <c r="A534" s="23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>
      <c r="A535" s="23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>
      <c r="A536" s="23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>
      <c r="A537" s="23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>
      <c r="A538" s="23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>
      <c r="A539" s="23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>
      <c r="A540" s="23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>
      <c r="A541" s="23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>
      <c r="A542" s="23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>
      <c r="A543" s="23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>
      <c r="A544" s="23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>
      <c r="A545" s="23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>
      <c r="A546" s="23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>
      <c r="A547" s="23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>
      <c r="A548" s="23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>
      <c r="A549" s="23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>
      <c r="A550" s="23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>
      <c r="A551" s="23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>
      <c r="A552" s="23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>
      <c r="A553" s="23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>
      <c r="A554" s="23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>
      <c r="A555" s="23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>
      <c r="A556" s="23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>
      <c r="A557" s="23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>
      <c r="A558" s="23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>
      <c r="A559" s="23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>
      <c r="A560" s="23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>
      <c r="A561" s="23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>
      <c r="A562" s="23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>
      <c r="A563" s="23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>
      <c r="A564" s="23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>
      <c r="A565" s="23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>
      <c r="A566" s="23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>
      <c r="A567" s="23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>
      <c r="A568" s="23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>
      <c r="A569" s="23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>
      <c r="A570" s="23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>
      <c r="A571" s="23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>
      <c r="A572" s="23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>
      <c r="A573" s="23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>
      <c r="A574" s="23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>
      <c r="A575" s="23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>
      <c r="A576" s="23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>
      <c r="A577" s="23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>
      <c r="A578" s="23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>
      <c r="A579" s="23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>
      <c r="A580" s="23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>
      <c r="A581" s="23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>
      <c r="A582" s="23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>
      <c r="A583" s="23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>
      <c r="A584" s="23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>
      <c r="A585" s="23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>
      <c r="A586" s="23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>
      <c r="A587" s="23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>
      <c r="A588" s="23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>
      <c r="A589" s="23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>
      <c r="A590" s="23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>
      <c r="A591" s="23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>
      <c r="A592" s="23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>
      <c r="A593" s="23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>
      <c r="A594" s="23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>
      <c r="A595" s="23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>
      <c r="A596" s="23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>
      <c r="A597" s="23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>
      <c r="A598" s="23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>
      <c r="A599" s="23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>
      <c r="A600" s="23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>
      <c r="A601" s="23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>
      <c r="A602" s="23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>
      <c r="A603" s="23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>
      <c r="A604" s="23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>
      <c r="A605" s="23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>
      <c r="A606" s="23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>
      <c r="A607" s="23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>
      <c r="A608" s="23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>
      <c r="A609" s="23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>
      <c r="A610" s="23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>
      <c r="A611" s="23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>
      <c r="A612" s="23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>
      <c r="A613" s="23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>
      <c r="A614" s="23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>
      <c r="A615" s="23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>
      <c r="A616" s="23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>
      <c r="A617" s="23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>
      <c r="A618" s="23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>
      <c r="A619" s="23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>
      <c r="A620" s="23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>
      <c r="A621" s="23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>
      <c r="A622" s="23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>
      <c r="A623" s="23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>
      <c r="A624" s="23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>
      <c r="A625" s="23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>
      <c r="A626" s="23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>
      <c r="A627" s="23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>
      <c r="A628" s="23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>
      <c r="A629" s="23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>
      <c r="A630" s="23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>
      <c r="A631" s="23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>
      <c r="A632" s="23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>
      <c r="A633" s="23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>
      <c r="A634" s="23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>
      <c r="A635" s="23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>
      <c r="A636" s="23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>
      <c r="A637" s="23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>
      <c r="A638" s="23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>
      <c r="A639" s="23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>
      <c r="A640" s="23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>
      <c r="A641" s="23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>
      <c r="A642" s="23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>
      <c r="A643" s="23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>
      <c r="A644" s="23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>
      <c r="A645" s="23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>
      <c r="A646" s="23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>
      <c r="A647" s="23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>
      <c r="A648" s="23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>
      <c r="A649" s="23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>
      <c r="A650" s="23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>
      <c r="A651" s="23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>
      <c r="A652" s="23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>
      <c r="A653" s="23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>
      <c r="A654" s="23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>
      <c r="A655" s="23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>
      <c r="A656" s="23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>
      <c r="A657" s="23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>
      <c r="A658" s="23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>
      <c r="A659" s="23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>
      <c r="A660" s="23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>
      <c r="A661" s="23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>
      <c r="A662" s="23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>
      <c r="A663" s="23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>
      <c r="A664" s="23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>
      <c r="A665" s="23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>
      <c r="A666" s="23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>
      <c r="A667" s="23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>
      <c r="A668" s="23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>
      <c r="A669" s="23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>
      <c r="A670" s="23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>
      <c r="A671" s="23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>
      <c r="A672" s="23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>
      <c r="A673" s="23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>
      <c r="A674" s="23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>
      <c r="A675" s="23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>
      <c r="A676" s="23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>
      <c r="A677" s="23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>
      <c r="A678" s="23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>
      <c r="A679" s="23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>
      <c r="A680" s="23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>
      <c r="A681" s="23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>
      <c r="A682" s="23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>
      <c r="A683" s="23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>
      <c r="A684" s="23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>
      <c r="A685" s="23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>
      <c r="A686" s="23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>
      <c r="A687" s="23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>
      <c r="A688" s="23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>
      <c r="A689" s="23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>
      <c r="A690" s="23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>
      <c r="A691" s="23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>
      <c r="A692" s="23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>
      <c r="A693" s="23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>
      <c r="A694" s="23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>
      <c r="A695" s="23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>
      <c r="A696" s="23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>
      <c r="A697" s="23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>
      <c r="A698" s="23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>
      <c r="A699" s="23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>
      <c r="A700" s="23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>
      <c r="A701" s="23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>
      <c r="A702" s="23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>
      <c r="A703" s="23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>
      <c r="A704" s="23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>
      <c r="A705" s="23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>
      <c r="A706" s="23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>
      <c r="A707" s="23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>
      <c r="A708" s="23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>
      <c r="A709" s="23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>
      <c r="A710" s="23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>
      <c r="A711" s="23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>
      <c r="A712" s="23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>
      <c r="A713" s="23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>
      <c r="A714" s="23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>
      <c r="A715" s="23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>
      <c r="A716" s="23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>
      <c r="A717" s="23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>
      <c r="A718" s="23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>
      <c r="A719" s="23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>
      <c r="A720" s="23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>
      <c r="A721" s="23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>
      <c r="A722" s="23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>
      <c r="A723" s="23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>
      <c r="A724" s="23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>
      <c r="A725" s="23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>
      <c r="A726" s="23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>
      <c r="A727" s="23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>
      <c r="A728" s="23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>
      <c r="A729" s="23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>
      <c r="A730" s="23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>
      <c r="A731" s="23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>
      <c r="A732" s="23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>
      <c r="A733" s="23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>
      <c r="A734" s="23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>
      <c r="A735" s="23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>
      <c r="A736" s="23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>
      <c r="A737" s="23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>
      <c r="A738" s="23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>
      <c r="A739" s="23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>
      <c r="A740" s="23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>
      <c r="A741" s="23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>
      <c r="A742" s="23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>
      <c r="A743" s="23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>
      <c r="A744" s="23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>
      <c r="A745" s="23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>
      <c r="A746" s="23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>
      <c r="A747" s="23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>
      <c r="A748" s="23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>
      <c r="A749" s="23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>
      <c r="A750" s="23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>
      <c r="A751" s="23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>
      <c r="A752" s="23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>
      <c r="A753" s="23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>
      <c r="A754" s="23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>
      <c r="A755" s="23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>
      <c r="A756" s="23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>
      <c r="A757" s="23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>
      <c r="A758" s="23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>
      <c r="A759" s="23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>
      <c r="A760" s="23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>
      <c r="A761" s="23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>
      <c r="A762" s="23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>
      <c r="A763" s="23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>
      <c r="A764" s="23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>
      <c r="A765" s="23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>
      <c r="A766" s="23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>
      <c r="A767" s="23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>
      <c r="A768" s="23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>
      <c r="A769" s="23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>
      <c r="A770" s="23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>
      <c r="A771" s="23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>
      <c r="A772" s="23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>
      <c r="A773" s="23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>
      <c r="A774" s="23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>
      <c r="A775" s="23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>
      <c r="A776" s="23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>
      <c r="A777" s="23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>
      <c r="A778" s="23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>
      <c r="A779" s="23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>
      <c r="A780" s="23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>
      <c r="A781" s="23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>
      <c r="A782" s="23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>
      <c r="A783" s="23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>
      <c r="A784" s="23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>
      <c r="A785" s="23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>
      <c r="A786" s="23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>
      <c r="A787" s="23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>
      <c r="A788" s="23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>
      <c r="A789" s="23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>
      <c r="A790" s="23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>
      <c r="A791" s="23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>
      <c r="A792" s="23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>
      <c r="A793" s="23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>
      <c r="A794" s="23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>
      <c r="A795" s="23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>
      <c r="A796" s="23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>
      <c r="A797" s="23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>
      <c r="A798" s="23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>
      <c r="A799" s="23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>
      <c r="A800" s="23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>
      <c r="A801" s="23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>
      <c r="A802" s="23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>
      <c r="A803" s="23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>
      <c r="A804" s="23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>
      <c r="A805" s="23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>
      <c r="A806" s="23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>
      <c r="A807" s="23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>
      <c r="A808" s="23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>
      <c r="A809" s="23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>
      <c r="A810" s="23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>
      <c r="A811" s="23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>
      <c r="A812" s="23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>
      <c r="A813" s="23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>
      <c r="A814" s="23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>
      <c r="A815" s="23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>
      <c r="A816" s="23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>
      <c r="A817" s="23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>
      <c r="A818" s="23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>
      <c r="A819" s="23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>
      <c r="A820" s="23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>
      <c r="A821" s="23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>
      <c r="A822" s="23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>
      <c r="A823" s="23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>
      <c r="A824" s="23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>
      <c r="A825" s="23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>
      <c r="A826" s="23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>
      <c r="A827" s="23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>
      <c r="A828" s="23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>
      <c r="A829" s="23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>
      <c r="A830" s="23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>
      <c r="A831" s="23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>
      <c r="A832" s="23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>
      <c r="A833" s="23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>
      <c r="A834" s="23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>
      <c r="A835" s="23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>
      <c r="A836" s="23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>
      <c r="A837" s="23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>
      <c r="A838" s="23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>
      <c r="A839" s="23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>
      <c r="A840" s="23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>
      <c r="A841" s="23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>
      <c r="A842" s="23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>
      <c r="A843" s="23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>
      <c r="A844" s="23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>
      <c r="A845" s="23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>
      <c r="A846" s="23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>
      <c r="A847" s="23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>
      <c r="A848" s="23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>
      <c r="A849" s="23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>
      <c r="A850" s="23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>
      <c r="A851" s="23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>
      <c r="A852" s="23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>
      <c r="A853" s="23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>
      <c r="A854" s="23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>
      <c r="A855" s="23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>
      <c r="A856" s="23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>
      <c r="A857" s="23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>
      <c r="A858" s="23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>
      <c r="A859" s="23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>
      <c r="A860" s="23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>
      <c r="A861" s="23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>
      <c r="A862" s="23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>
      <c r="A863" s="23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>
      <c r="A864" s="23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>
      <c r="A865" s="23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>
      <c r="A866" s="23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>
      <c r="A867" s="23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>
      <c r="A868" s="23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>
      <c r="A869" s="23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>
      <c r="A870" s="23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>
      <c r="A871" s="23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>
      <c r="A872" s="23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>
      <c r="A873" s="23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>
      <c r="A874" s="23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>
      <c r="A875" s="23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>
      <c r="A876" s="23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>
      <c r="A877" s="23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>
      <c r="A878" s="23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>
      <c r="A879" s="23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>
      <c r="A880" s="23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>
      <c r="A881" s="23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>
      <c r="A882" s="23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>
      <c r="A883" s="23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>
      <c r="A884" s="23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>
      <c r="A885" s="23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>
      <c r="A886" s="23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>
      <c r="A887" s="23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>
      <c r="A888" s="23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>
      <c r="A889" s="23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>
      <c r="A890" s="23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>
      <c r="A891" s="23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>
      <c r="A892" s="23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>
      <c r="A893" s="23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>
      <c r="A894" s="23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>
      <c r="A895" s="23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>
      <c r="A896" s="23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>
      <c r="A897" s="23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>
      <c r="A898" s="23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>
      <c r="A899" s="23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>
      <c r="A900" s="23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>
      <c r="A901" s="23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>
      <c r="A902" s="23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>
      <c r="A903" s="23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>
      <c r="A904" s="23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>
      <c r="A905" s="23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>
      <c r="A906" s="23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>
      <c r="A907" s="23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>
      <c r="A908" s="23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>
      <c r="A909" s="23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>
      <c r="A910" s="23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>
      <c r="A911" s="23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>
      <c r="A912" s="23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>
      <c r="A913" s="23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>
      <c r="A914" s="23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>
      <c r="A915" s="23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>
      <c r="A916" s="23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>
      <c r="A917" s="23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>
      <c r="A918" s="23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>
      <c r="A919" s="23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>
      <c r="A920" s="23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>
      <c r="A921" s="23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>
      <c r="A922" s="23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>
      <c r="A923" s="23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>
      <c r="A924" s="23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>
      <c r="A925" s="23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>
      <c r="A926" s="23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>
      <c r="A927" s="23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>
      <c r="A928" s="23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>
      <c r="A929" s="23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>
      <c r="A930" s="23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>
      <c r="A931" s="23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>
      <c r="A932" s="23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>
      <c r="A933" s="23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>
      <c r="A934" s="23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>
      <c r="A935" s="23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>
      <c r="A936" s="23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>
      <c r="A937" s="23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>
      <c r="A938" s="23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>
      <c r="A939" s="23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>
      <c r="A940" s="23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>
      <c r="A941" s="23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>
      <c r="A942" s="23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>
      <c r="A943" s="23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>
      <c r="A944" s="23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>
      <c r="A945" s="23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>
      <c r="A946" s="23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>
      <c r="A947" s="23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>
      <c r="A948" s="23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>
      <c r="A949" s="23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>
      <c r="A950" s="23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>
      <c r="A951" s="23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>
      <c r="A952" s="23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>
      <c r="A953" s="23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>
      <c r="A954" s="23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>
      <c r="A955" s="23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>
      <c r="A956" s="23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>
      <c r="A957" s="23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>
      <c r="A958" s="23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>
      <c r="A959" s="23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>
      <c r="A960" s="23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>
      <c r="A961" s="23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>
      <c r="A962" s="23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>
      <c r="A963" s="23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>
      <c r="A964" s="23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>
      <c r="A965" s="23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>
      <c r="A966" s="23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>
      <c r="A967" s="23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>
      <c r="A968" s="23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>
      <c r="A969" s="23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>
      <c r="A970" s="23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>
      <c r="A971" s="23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>
      <c r="A972" s="23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>
      <c r="A973" s="23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>
      <c r="A974" s="23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>
      <c r="A975" s="23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>
      <c r="A976" s="23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>
      <c r="A977" s="23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>
      <c r="A978" s="23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>
      <c r="A979" s="23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>
      <c r="A980" s="23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>
      <c r="A981" s="23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>
      <c r="A982" s="23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>
      <c r="A983" s="23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>
      <c r="A984" s="23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>
      <c r="A985" s="23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>
      <c r="A986" s="23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>
      <c r="A987" s="23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>
      <c r="A988" s="23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>
      <c r="A989" s="23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>
      <c r="A990" s="23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>
      <c r="A991" s="23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>
      <c r="A992" s="23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>
      <c r="A993" s="23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>
      <c r="A994" s="23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>
      <c r="A995" s="23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>
      <c r="A996" s="23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>
      <c r="A997" s="23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19.25"/>
    <col customWidth="1" min="5" max="5" width="15.5"/>
    <col customWidth="1" min="11" max="11" width="22.13"/>
    <col customWidth="1" min="16" max="16" width="14.13"/>
    <col customWidth="1" min="18" max="18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3" t="s">
        <v>15</v>
      </c>
      <c r="Q1" s="4" t="s">
        <v>14</v>
      </c>
      <c r="R1" s="3" t="s">
        <v>16</v>
      </c>
      <c r="S1" s="4" t="s">
        <v>14</v>
      </c>
      <c r="T1" s="3" t="s">
        <v>17</v>
      </c>
      <c r="U1" s="4" t="s">
        <v>14</v>
      </c>
      <c r="V1" s="3" t="s">
        <v>18</v>
      </c>
      <c r="W1" s="4" t="s">
        <v>14</v>
      </c>
      <c r="X1" s="5"/>
      <c r="Y1" s="5"/>
      <c r="Z1" s="5"/>
    </row>
    <row r="2">
      <c r="A2" s="25">
        <f>'Jan-2025'!A7+1</f>
        <v>7</v>
      </c>
      <c r="B2" s="26">
        <v>45689.0</v>
      </c>
      <c r="C2" s="27" t="s">
        <v>19</v>
      </c>
      <c r="D2" s="10" t="s">
        <v>42</v>
      </c>
      <c r="E2" s="10" t="s">
        <v>43</v>
      </c>
      <c r="F2" s="14" t="s">
        <v>44</v>
      </c>
      <c r="G2" s="14" t="s">
        <v>45</v>
      </c>
      <c r="H2" s="13"/>
      <c r="I2" s="10" t="s">
        <v>46</v>
      </c>
      <c r="J2" s="14">
        <v>4.0102421388E10</v>
      </c>
      <c r="K2" s="28" t="s">
        <v>25</v>
      </c>
      <c r="L2" s="16" t="s">
        <v>26</v>
      </c>
      <c r="M2" s="13"/>
      <c r="N2" s="17" t="s">
        <v>27</v>
      </c>
      <c r="O2" s="29"/>
      <c r="P2" s="17" t="s">
        <v>27</v>
      </c>
      <c r="Q2" s="30"/>
      <c r="R2" s="17" t="s">
        <v>27</v>
      </c>
      <c r="S2" s="30"/>
      <c r="T2" s="17" t="s">
        <v>27</v>
      </c>
      <c r="U2" s="30"/>
      <c r="V2" s="17" t="s">
        <v>27</v>
      </c>
      <c r="W2" s="30"/>
      <c r="X2" s="30"/>
      <c r="Y2" s="30"/>
      <c r="Z2" s="30"/>
    </row>
    <row r="3">
      <c r="A3" s="25">
        <f t="shared" ref="A3:A4" si="1">A2+1</f>
        <v>8</v>
      </c>
      <c r="B3" s="26">
        <v>45689.0</v>
      </c>
      <c r="C3" s="27" t="s">
        <v>19</v>
      </c>
      <c r="D3" s="10" t="s">
        <v>47</v>
      </c>
      <c r="E3" s="10" t="s">
        <v>48</v>
      </c>
      <c r="F3" s="14" t="s">
        <v>49</v>
      </c>
      <c r="G3" s="14" t="s">
        <v>45</v>
      </c>
      <c r="H3" s="13"/>
      <c r="I3" s="10" t="s">
        <v>46</v>
      </c>
      <c r="J3" s="14">
        <v>4.0102432259E10</v>
      </c>
      <c r="K3" s="28" t="s">
        <v>25</v>
      </c>
      <c r="L3" s="16" t="s">
        <v>26</v>
      </c>
      <c r="M3" s="13"/>
      <c r="N3" s="31">
        <v>36.8</v>
      </c>
      <c r="O3" s="29"/>
      <c r="P3" s="17" t="s">
        <v>27</v>
      </c>
      <c r="Q3" s="30"/>
      <c r="R3" s="17" t="s">
        <v>27</v>
      </c>
      <c r="S3" s="30"/>
      <c r="T3" s="17" t="s">
        <v>27</v>
      </c>
      <c r="U3" s="30"/>
      <c r="V3" s="17" t="s">
        <v>27</v>
      </c>
      <c r="W3" s="30"/>
      <c r="X3" s="30"/>
      <c r="Y3" s="30"/>
      <c r="Z3" s="30"/>
    </row>
    <row r="4">
      <c r="A4" s="25">
        <f t="shared" si="1"/>
        <v>9</v>
      </c>
      <c r="B4" s="26">
        <v>45689.0</v>
      </c>
      <c r="C4" s="27" t="s">
        <v>19</v>
      </c>
      <c r="D4" s="10" t="s">
        <v>50</v>
      </c>
      <c r="E4" s="10" t="s">
        <v>51</v>
      </c>
      <c r="F4" s="14" t="s">
        <v>49</v>
      </c>
      <c r="G4" s="14" t="s">
        <v>45</v>
      </c>
      <c r="H4" s="13"/>
      <c r="I4" s="10" t="s">
        <v>46</v>
      </c>
      <c r="J4" s="14">
        <v>4.0102432259E10</v>
      </c>
      <c r="K4" s="28" t="s">
        <v>25</v>
      </c>
      <c r="L4" s="16" t="s">
        <v>26</v>
      </c>
      <c r="M4" s="13"/>
      <c r="N4" s="17" t="s">
        <v>27</v>
      </c>
      <c r="O4" s="29"/>
      <c r="P4" s="17" t="s">
        <v>27</v>
      </c>
      <c r="Q4" s="30"/>
      <c r="R4" s="17" t="s">
        <v>27</v>
      </c>
      <c r="S4" s="30"/>
      <c r="T4" s="17" t="s">
        <v>27</v>
      </c>
      <c r="U4" s="30"/>
      <c r="V4" s="17" t="s">
        <v>27</v>
      </c>
      <c r="W4" s="30"/>
      <c r="X4" s="30"/>
      <c r="Y4" s="30"/>
      <c r="Z4" s="30"/>
    </row>
    <row r="5">
      <c r="A5" s="6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6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3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3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3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3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3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3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3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3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3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3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3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3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3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3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3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3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3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3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3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3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3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3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3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3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3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3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3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3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3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3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3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3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3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3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3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3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3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3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3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3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3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3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3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3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3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3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3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3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3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3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3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3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3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3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3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3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3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3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3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3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3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3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3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3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3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3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3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3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3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3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3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3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3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3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3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3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3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3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3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3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3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3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3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3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3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3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3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3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3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3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3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3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3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3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3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3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3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3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3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3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3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3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3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3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3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3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3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3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3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3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3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3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3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3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3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3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3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3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3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3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</row>
    <row r="127">
      <c r="A127" s="33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</row>
    <row r="128">
      <c r="A128" s="33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</row>
    <row r="129">
      <c r="A129" s="33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</row>
    <row r="130">
      <c r="A130" s="33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</row>
    <row r="131">
      <c r="A131" s="33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</row>
    <row r="132">
      <c r="A132" s="33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</row>
    <row r="133">
      <c r="A133" s="33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</row>
    <row r="134">
      <c r="A134" s="33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</row>
    <row r="135">
      <c r="A135" s="33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</row>
    <row r="136">
      <c r="A136" s="33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</row>
    <row r="137">
      <c r="A137" s="33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</row>
    <row r="138">
      <c r="A138" s="33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</row>
    <row r="139">
      <c r="A139" s="33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</row>
    <row r="140">
      <c r="A140" s="33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</row>
    <row r="141">
      <c r="A141" s="33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</row>
    <row r="142">
      <c r="A142" s="33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</row>
    <row r="143">
      <c r="A143" s="33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</row>
    <row r="144">
      <c r="A144" s="33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</row>
    <row r="145">
      <c r="A145" s="33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</row>
    <row r="146">
      <c r="A146" s="33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</row>
    <row r="147">
      <c r="A147" s="33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</row>
    <row r="148">
      <c r="A148" s="33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</row>
    <row r="149">
      <c r="A149" s="33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</row>
    <row r="150">
      <c r="A150" s="33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</row>
    <row r="151">
      <c r="A151" s="33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</row>
    <row r="152">
      <c r="A152" s="33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</row>
    <row r="153">
      <c r="A153" s="33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</row>
    <row r="154">
      <c r="A154" s="33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</row>
    <row r="155">
      <c r="A155" s="33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</row>
    <row r="156">
      <c r="A156" s="33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</row>
    <row r="157">
      <c r="A157" s="33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</row>
    <row r="158">
      <c r="A158" s="33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</row>
    <row r="159">
      <c r="A159" s="33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</row>
    <row r="160">
      <c r="A160" s="33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</row>
    <row r="161">
      <c r="A161" s="33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</row>
    <row r="162">
      <c r="A162" s="33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</row>
    <row r="163">
      <c r="A163" s="33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</row>
    <row r="164">
      <c r="A164" s="33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</row>
    <row r="165">
      <c r="A165" s="33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</row>
    <row r="166">
      <c r="A166" s="33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</row>
    <row r="167">
      <c r="A167" s="33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</row>
    <row r="168">
      <c r="A168" s="33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</row>
    <row r="169">
      <c r="A169" s="33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</sheetData>
  <drawing r:id="rId1"/>
</worksheet>
</file>